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oba\OneDrive\ドキュメント\フリーズ\エクセル\"/>
    </mc:Choice>
  </mc:AlternateContent>
  <bookViews>
    <workbookView xWindow="0" yWindow="0" windowWidth="28800" windowHeight="11490"/>
  </bookViews>
  <sheets>
    <sheet name="計算シート" sheetId="1" r:id="rId1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5" i="1" l="1"/>
  <c r="E2" i="1"/>
  <c r="AX85" i="1"/>
  <c r="AS85" i="1"/>
  <c r="AS84" i="1"/>
  <c r="AS86" i="1" s="1"/>
  <c r="AS78" i="1"/>
  <c r="AS77" i="1"/>
  <c r="AO77" i="1"/>
  <c r="AI77" i="1"/>
  <c r="AS76" i="1"/>
  <c r="AS79" i="1" s="1"/>
  <c r="G17" i="1" s="1"/>
  <c r="N17" i="1" s="1"/>
  <c r="AI76" i="1"/>
  <c r="AO76" i="1" s="1"/>
  <c r="AS72" i="1"/>
  <c r="AO72" i="1"/>
  <c r="AS71" i="1"/>
  <c r="AO71" i="1"/>
  <c r="AI71" i="1"/>
  <c r="AS70" i="1"/>
  <c r="AI70" i="1"/>
  <c r="AO70" i="1" s="1"/>
  <c r="AB70" i="1"/>
  <c r="AX65" i="1"/>
  <c r="AS65" i="1"/>
  <c r="AX64" i="1"/>
  <c r="AS64" i="1"/>
  <c r="AX63" i="1"/>
  <c r="AS63" i="1"/>
  <c r="AX62" i="1"/>
  <c r="AS62" i="1"/>
  <c r="AX61" i="1"/>
  <c r="AS61" i="1"/>
  <c r="AX60" i="1"/>
  <c r="AS60" i="1"/>
  <c r="AX59" i="1"/>
  <c r="AS59" i="1"/>
  <c r="AX58" i="1"/>
  <c r="AS58" i="1"/>
  <c r="AX57" i="1"/>
  <c r="AS57" i="1"/>
  <c r="AX56" i="1"/>
  <c r="AX66" i="1" s="1"/>
  <c r="G15" i="1" s="1"/>
  <c r="N15" i="1" s="1"/>
  <c r="AS56" i="1"/>
  <c r="AS66" i="1" s="1"/>
  <c r="AX51" i="1"/>
  <c r="AS51" i="1"/>
  <c r="AX50" i="1"/>
  <c r="AS50" i="1"/>
  <c r="AX49" i="1"/>
  <c r="AS49" i="1"/>
  <c r="AX48" i="1"/>
  <c r="AS48" i="1"/>
  <c r="AX47" i="1"/>
  <c r="AS47" i="1"/>
  <c r="AX46" i="1"/>
  <c r="AS46" i="1"/>
  <c r="AX45" i="1"/>
  <c r="AS45" i="1"/>
  <c r="AX44" i="1"/>
  <c r="AX52" i="1" s="1"/>
  <c r="G14" i="1" s="1"/>
  <c r="N14" i="1" s="1"/>
  <c r="AS44" i="1"/>
  <c r="AS52" i="1" s="1"/>
  <c r="AX39" i="1"/>
  <c r="AS39" i="1"/>
  <c r="AX38" i="1"/>
  <c r="AS38" i="1"/>
  <c r="AX37" i="1"/>
  <c r="AS37" i="1"/>
  <c r="AX36" i="1"/>
  <c r="AX40" i="1" s="1"/>
  <c r="G13" i="1" s="1"/>
  <c r="AS36" i="1"/>
  <c r="AS40" i="1" s="1"/>
  <c r="N33" i="1"/>
  <c r="AO31" i="1"/>
  <c r="AM31" i="1"/>
  <c r="AK31" i="1"/>
  <c r="AI31" i="1"/>
  <c r="AG31" i="1"/>
  <c r="AY30" i="1"/>
  <c r="AU30" i="1"/>
  <c r="AO30" i="1"/>
  <c r="N30" i="1"/>
  <c r="G30" i="1"/>
  <c r="AY28" i="1"/>
  <c r="AU28" i="1"/>
  <c r="AO28" i="1"/>
  <c r="AI78" i="1" s="1"/>
  <c r="AO78" i="1" s="1"/>
  <c r="AI28" i="1"/>
  <c r="G26" i="1"/>
  <c r="G27" i="1" s="1"/>
  <c r="AU22" i="1"/>
  <c r="AZ22" i="1" s="1"/>
  <c r="AP22" i="1"/>
  <c r="AP21" i="1"/>
  <c r="AU21" i="1" s="1"/>
  <c r="AZ21" i="1" s="1"/>
  <c r="AU20" i="1"/>
  <c r="AP20" i="1"/>
  <c r="AI16" i="1"/>
  <c r="G16" i="1"/>
  <c r="N16" i="1" s="1"/>
  <c r="AU15" i="1"/>
  <c r="AZ15" i="1" s="1"/>
  <c r="AP15" i="1"/>
  <c r="AP14" i="1"/>
  <c r="AU14" i="1" s="1"/>
  <c r="AZ14" i="1" s="1"/>
  <c r="AU13" i="1"/>
  <c r="AZ13" i="1" s="1"/>
  <c r="AP13" i="1"/>
  <c r="AP12" i="1"/>
  <c r="AU12" i="1" s="1"/>
  <c r="AZ12" i="1" s="1"/>
  <c r="AU11" i="1"/>
  <c r="AZ11" i="1" s="1"/>
  <c r="AP11" i="1"/>
  <c r="AP10" i="1"/>
  <c r="AU10" i="1" s="1"/>
  <c r="AZ10" i="1" s="1"/>
  <c r="AU9" i="1"/>
  <c r="AZ9" i="1" s="1"/>
  <c r="AP9" i="1"/>
  <c r="AP8" i="1"/>
  <c r="AU8" i="1" s="1"/>
  <c r="AZ8" i="1" s="1"/>
  <c r="AU7" i="1"/>
  <c r="AZ7" i="1" s="1"/>
  <c r="AP7" i="1"/>
  <c r="AP6" i="1"/>
  <c r="AU6" i="1" s="1"/>
  <c r="AZ6" i="1" s="1"/>
  <c r="AU5" i="1"/>
  <c r="AZ5" i="1" s="1"/>
  <c r="AP5" i="1"/>
  <c r="AP4" i="1"/>
  <c r="AP16" i="1" s="1"/>
  <c r="AU23" i="1" l="1"/>
  <c r="G8" i="1" s="1"/>
  <c r="N8" i="1" s="1"/>
  <c r="AO79" i="1"/>
  <c r="N13" i="1"/>
  <c r="G12" i="1"/>
  <c r="N12" i="1" s="1"/>
  <c r="AX84" i="1"/>
  <c r="AX86" i="1" s="1"/>
  <c r="G19" i="1" s="1"/>
  <c r="N19" i="1" s="1"/>
  <c r="AU29" i="1"/>
  <c r="AY29" i="1" s="1"/>
  <c r="G11" i="1" s="1"/>
  <c r="N11" i="1" s="1"/>
  <c r="N31" i="1"/>
  <c r="AP23" i="1"/>
  <c r="N32" i="1"/>
  <c r="AU4" i="1"/>
  <c r="AZ20" i="1"/>
  <c r="AY31" i="1" l="1"/>
  <c r="G10" i="1" s="1"/>
  <c r="AZ4" i="1"/>
  <c r="AU16" i="1"/>
  <c r="G7" i="1" s="1"/>
  <c r="AU31" i="1"/>
  <c r="N7" i="1" l="1"/>
  <c r="G33" i="1"/>
  <c r="N10" i="1"/>
  <c r="G9" i="1"/>
  <c r="N9" i="1" s="1"/>
  <c r="G18" i="1" l="1"/>
  <c r="G20" i="1" l="1"/>
  <c r="N20" i="1" s="1"/>
  <c r="G21" i="1"/>
  <c r="N21" i="1" s="1"/>
  <c r="N18" i="1"/>
  <c r="G32" i="1"/>
  <c r="G23" i="1" l="1"/>
  <c r="N23" i="1" l="1"/>
  <c r="G31" i="1"/>
</calcChain>
</file>

<file path=xl/sharedStrings.xml><?xml version="1.0" encoding="utf-8"?>
<sst xmlns="http://schemas.openxmlformats.org/spreadsheetml/2006/main" count="159" uniqueCount="114">
  <si>
    <t>品名</t>
    <phoneticPr fontId="3"/>
  </si>
  <si>
    <t>納品先</t>
    <phoneticPr fontId="3"/>
  </si>
  <si>
    <t>①原料費</t>
    <phoneticPr fontId="3"/>
  </si>
  <si>
    <t>品名</t>
    <phoneticPr fontId="3"/>
  </si>
  <si>
    <t>出来高</t>
    <phoneticPr fontId="3"/>
  </si>
  <si>
    <t>ｋｇ</t>
    <phoneticPr fontId="3"/>
  </si>
  <si>
    <t>トレー充填量</t>
    <phoneticPr fontId="3"/>
  </si>
  <si>
    <t>販売単位</t>
    <phoneticPr fontId="3"/>
  </si>
  <si>
    <t>1ｋｇ</t>
    <phoneticPr fontId="3"/>
  </si>
  <si>
    <t>販売単価</t>
    <phoneticPr fontId="3"/>
  </si>
  <si>
    <t>荷姿</t>
    <phoneticPr fontId="3"/>
  </si>
  <si>
    <t>原料名</t>
    <phoneticPr fontId="3"/>
  </si>
  <si>
    <t>予定数量</t>
    <phoneticPr fontId="3"/>
  </si>
  <si>
    <t>予定単価</t>
    <phoneticPr fontId="3"/>
  </si>
  <si>
    <t>金額</t>
    <phoneticPr fontId="3"/>
  </si>
  <si>
    <t>ｋｇ当り金額</t>
    <phoneticPr fontId="3"/>
  </si>
  <si>
    <t>構成比</t>
    <phoneticPr fontId="3"/>
  </si>
  <si>
    <t>ｋｇ</t>
    <phoneticPr fontId="3"/>
  </si>
  <si>
    <t>原価計算</t>
    <phoneticPr fontId="3"/>
  </si>
  <si>
    <t>単位</t>
    <phoneticPr fontId="3"/>
  </si>
  <si>
    <t>ｋｇ</t>
    <phoneticPr fontId="3"/>
  </si>
  <si>
    <t>1ロット</t>
    <phoneticPr fontId="3"/>
  </si>
  <si>
    <t>ｋｇ</t>
    <phoneticPr fontId="3"/>
  </si>
  <si>
    <t>項目</t>
    <phoneticPr fontId="3"/>
  </si>
  <si>
    <t>単位当り金額</t>
    <phoneticPr fontId="3"/>
  </si>
  <si>
    <t>構成比</t>
    <phoneticPr fontId="3"/>
  </si>
  <si>
    <t>算出式</t>
    <phoneticPr fontId="3"/>
  </si>
  <si>
    <t>①原料費</t>
    <phoneticPr fontId="3"/>
  </si>
  <si>
    <t>ロス</t>
    <phoneticPr fontId="3"/>
  </si>
  <si>
    <t>％加算</t>
    <phoneticPr fontId="3"/>
  </si>
  <si>
    <t>②外注費</t>
    <phoneticPr fontId="3"/>
  </si>
  <si>
    <t>ｋｇ</t>
    <phoneticPr fontId="3"/>
  </si>
  <si>
    <t>③労務費</t>
    <phoneticPr fontId="3"/>
  </si>
  <si>
    <t>直接労務費</t>
    <phoneticPr fontId="3"/>
  </si>
  <si>
    <t>間接労務費</t>
    <phoneticPr fontId="3"/>
  </si>
  <si>
    <t>④製造経費</t>
    <phoneticPr fontId="3"/>
  </si>
  <si>
    <t>原料運賃</t>
    <phoneticPr fontId="3"/>
  </si>
  <si>
    <t>包装資材費</t>
    <phoneticPr fontId="3"/>
  </si>
  <si>
    <t>設備費</t>
    <phoneticPr fontId="3"/>
  </si>
  <si>
    <t>水道光熱費</t>
    <phoneticPr fontId="3"/>
  </si>
  <si>
    <t>合計</t>
    <phoneticPr fontId="3"/>
  </si>
  <si>
    <t>その他経費</t>
    <phoneticPr fontId="3"/>
  </si>
  <si>
    <t>合計製品原価</t>
    <phoneticPr fontId="3"/>
  </si>
  <si>
    <t>荷造運賃（送料）</t>
    <phoneticPr fontId="3"/>
  </si>
  <si>
    <t>委託先・委託作業など</t>
    <phoneticPr fontId="3"/>
  </si>
  <si>
    <t>予定単価</t>
    <phoneticPr fontId="3"/>
  </si>
  <si>
    <t>構成比</t>
    <phoneticPr fontId="3"/>
  </si>
  <si>
    <t>販売費</t>
    <phoneticPr fontId="3"/>
  </si>
  <si>
    <t>製造原価の1.1％</t>
    <phoneticPr fontId="3"/>
  </si>
  <si>
    <t>一般管理費
営業外費用</t>
    <phoneticPr fontId="3"/>
  </si>
  <si>
    <t>製造原価の一般管理費9.2％
+営業外費用3.9％</t>
    <phoneticPr fontId="3"/>
  </si>
  <si>
    <t>総原価</t>
    <phoneticPr fontId="3"/>
  </si>
  <si>
    <t>販売価格体系</t>
    <phoneticPr fontId="3"/>
  </si>
  <si>
    <t>③労務費</t>
    <phoneticPr fontId="3"/>
  </si>
  <si>
    <t>販売価格</t>
    <phoneticPr fontId="3"/>
  </si>
  <si>
    <t>作業時間</t>
    <phoneticPr fontId="3"/>
  </si>
  <si>
    <t>賃率</t>
    <phoneticPr fontId="3"/>
  </si>
  <si>
    <t>労賃</t>
    <phoneticPr fontId="3"/>
  </si>
  <si>
    <t>ｋｇ当り労賃</t>
    <phoneticPr fontId="3"/>
  </si>
  <si>
    <t>総原価率</t>
    <phoneticPr fontId="3"/>
  </si>
  <si>
    <t>前処理</t>
    <phoneticPr fontId="3"/>
  </si>
  <si>
    <t>夜勤</t>
    <phoneticPr fontId="3"/>
  </si>
  <si>
    <t>乾燥</t>
    <phoneticPr fontId="3"/>
  </si>
  <si>
    <t>選別</t>
    <phoneticPr fontId="3"/>
  </si>
  <si>
    <t>男性作業時間</t>
    <phoneticPr fontId="3"/>
  </si>
  <si>
    <t>直</t>
    <phoneticPr fontId="3"/>
  </si>
  <si>
    <t>経理計算</t>
    <phoneticPr fontId="3"/>
  </si>
  <si>
    <t>間</t>
    <phoneticPr fontId="3"/>
  </si>
  <si>
    <t>実質売価</t>
    <phoneticPr fontId="3"/>
  </si>
  <si>
    <t>備考　</t>
    <phoneticPr fontId="3"/>
  </si>
  <si>
    <t>女性作業時間</t>
    <phoneticPr fontId="3"/>
  </si>
  <si>
    <t>利益</t>
    <phoneticPr fontId="3"/>
  </si>
  <si>
    <t>粗利益</t>
    <phoneticPr fontId="3"/>
  </si>
  <si>
    <t>限界利益</t>
    <phoneticPr fontId="3"/>
  </si>
  <si>
    <t>④製造経費</t>
    <phoneticPr fontId="3"/>
  </si>
  <si>
    <t>《原料運賃》</t>
    <phoneticPr fontId="3"/>
  </si>
  <si>
    <t>原　料</t>
    <phoneticPr fontId="3"/>
  </si>
  <si>
    <t>数量</t>
    <phoneticPr fontId="3"/>
  </si>
  <si>
    <t>単価</t>
    <phoneticPr fontId="3"/>
  </si>
  <si>
    <t>《包装資材費》</t>
    <phoneticPr fontId="3"/>
  </si>
  <si>
    <t>※仮受・保管等に使う資材も含む</t>
    <phoneticPr fontId="3"/>
  </si>
  <si>
    <t>資　材</t>
    <phoneticPr fontId="3"/>
  </si>
  <si>
    <t>数量</t>
    <phoneticPr fontId="3"/>
  </si>
  <si>
    <t>《設備費》</t>
    <phoneticPr fontId="3"/>
  </si>
  <si>
    <t>設備名</t>
    <phoneticPr fontId="3"/>
  </si>
  <si>
    <t>使用時間（分）</t>
    <rPh sb="5" eb="6">
      <t>フン</t>
    </rPh>
    <phoneticPr fontId="3"/>
  </si>
  <si>
    <t>レート</t>
    <phoneticPr fontId="3"/>
  </si>
  <si>
    <t>金額</t>
    <phoneticPr fontId="3"/>
  </si>
  <si>
    <t>B 熱風乾燥機</t>
    <phoneticPr fontId="3"/>
  </si>
  <si>
    <t>分</t>
    <phoneticPr fontId="3"/>
  </si>
  <si>
    <t>A 真空凍結乾燥機</t>
    <phoneticPr fontId="3"/>
  </si>
  <si>
    <t>トレー枚数</t>
    <rPh sb="3" eb="5">
      <t>マイスウ</t>
    </rPh>
    <phoneticPr fontId="3"/>
  </si>
  <si>
    <t>枚</t>
    <rPh sb="0" eb="1">
      <t>マイ</t>
    </rPh>
    <phoneticPr fontId="3"/>
  </si>
  <si>
    <t>分</t>
    <phoneticPr fontId="3"/>
  </si>
  <si>
    <t>分</t>
    <phoneticPr fontId="3"/>
  </si>
  <si>
    <t>《水道光熱費》</t>
    <phoneticPr fontId="3"/>
  </si>
  <si>
    <t>使用乾燥設備</t>
    <phoneticPr fontId="3"/>
  </si>
  <si>
    <t>設備使用時間（ｈ）</t>
    <phoneticPr fontId="3"/>
  </si>
  <si>
    <t>時間当り燃料額</t>
    <phoneticPr fontId="3"/>
  </si>
  <si>
    <t>A 真空凍結乾燥機（使用時間×枚数）</t>
    <phoneticPr fontId="3"/>
  </si>
  <si>
    <t>合計</t>
    <phoneticPr fontId="3"/>
  </si>
  <si>
    <t>《その他経費》</t>
    <phoneticPr fontId="3"/>
  </si>
  <si>
    <t>配賦先</t>
    <phoneticPr fontId="3"/>
  </si>
  <si>
    <t>時間（ｈ）</t>
    <phoneticPr fontId="3"/>
  </si>
  <si>
    <t>時間当り配賦額</t>
    <phoneticPr fontId="3"/>
  </si>
  <si>
    <t>配賦額</t>
    <phoneticPr fontId="3"/>
  </si>
  <si>
    <t>ｋｇ当り金額</t>
    <phoneticPr fontId="3"/>
  </si>
  <si>
    <t>ＦＤ機配賦額（使用時間×枚数）</t>
    <rPh sb="2" eb="3">
      <t>キ</t>
    </rPh>
    <rPh sb="7" eb="9">
      <t>シヨウ</t>
    </rPh>
    <rPh sb="9" eb="11">
      <t>ジカン</t>
    </rPh>
    <rPh sb="12" eb="14">
      <t>マイスウ</t>
    </rPh>
    <phoneticPr fontId="3"/>
  </si>
  <si>
    <t>ＡＤ機配賦額</t>
    <rPh sb="2" eb="3">
      <t>キ</t>
    </rPh>
    <phoneticPr fontId="3"/>
  </si>
  <si>
    <t>人件費配賦額</t>
    <phoneticPr fontId="3"/>
  </si>
  <si>
    <t>《荷造運賃》</t>
    <phoneticPr fontId="3"/>
  </si>
  <si>
    <t>配送会社</t>
    <phoneticPr fontId="3"/>
  </si>
  <si>
    <t>単価</t>
    <phoneticPr fontId="3"/>
  </si>
  <si>
    <t>合計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</si>
</sst>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#,##0.0;[Red]\-#,##0.0"/>
    <numFmt numFmtId="177" formatCode="0.0"/>
    <numFmt numFmtId="178" formatCode="0.0%"/>
    <numFmt numFmtId="179" formatCode="0.0_ "/>
    <numFmt numFmtId="180" formatCode="#&quot;％&quot;"/>
    <numFmt numFmtId="181" formatCode="0.0;&quot;△ &quot;0.0"/>
    <numFmt numFmtId="182" formatCode="0.00_ "/>
    <numFmt numFmtId="183" formatCode="#,##0.00_ "/>
    <numFmt numFmtId="184" formatCode="0_ "/>
  </numFmts>
  <fonts count="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sz val="6"/>
      <name val="ＭＳ Ｐゴシック"/>
      <family val="3"/>
      <charset val="128"/>
    </font>
    <font>
      <sz val="7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9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2" fillId="0" borderId="0" xfId="0" applyFont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38" fontId="2" fillId="0" borderId="3" xfId="1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horizontal="distributed" vertical="center"/>
    </xf>
    <xf numFmtId="0" fontId="2" fillId="0" borderId="0" xfId="0" applyFont="1" applyAlignment="1">
      <alignment horizontal="distributed" vertical="center" justifyLastLine="1"/>
    </xf>
    <xf numFmtId="38" fontId="2" fillId="3" borderId="18" xfId="1" applyFont="1" applyFill="1" applyBorder="1" applyAlignment="1">
      <alignment horizontal="left" vertical="center" justifyLastLine="1"/>
    </xf>
    <xf numFmtId="38" fontId="2" fillId="3" borderId="5" xfId="1" applyFont="1" applyFill="1" applyBorder="1" applyAlignment="1">
      <alignment horizontal="left" vertical="center" justifyLastLine="1"/>
    </xf>
    <xf numFmtId="176" fontId="2" fillId="2" borderId="11" xfId="1" applyNumberFormat="1" applyFont="1" applyFill="1" applyBorder="1" applyAlignment="1">
      <alignment horizontal="left" vertical="center" justifyLastLine="1"/>
    </xf>
    <xf numFmtId="38" fontId="2" fillId="3" borderId="19" xfId="1" applyFont="1" applyFill="1" applyBorder="1" applyAlignment="1">
      <alignment horizontal="left" vertical="center" justifyLastLine="1"/>
    </xf>
    <xf numFmtId="38" fontId="2" fillId="0" borderId="3" xfId="1" applyFont="1" applyBorder="1" applyAlignment="1">
      <alignment vertical="center"/>
    </xf>
    <xf numFmtId="38" fontId="2" fillId="0" borderId="0" xfId="1" applyFont="1" applyBorder="1" applyAlignment="1">
      <alignment horizontal="distributed" vertical="center" justifyLastLine="1"/>
    </xf>
    <xf numFmtId="38" fontId="2" fillId="0" borderId="0" xfId="1" applyFont="1" applyFill="1" applyBorder="1" applyAlignment="1">
      <alignment horizontal="distributed" vertical="center" justifyLastLine="1"/>
    </xf>
    <xf numFmtId="180" fontId="2" fillId="0" borderId="0" xfId="1" applyNumberFormat="1" applyFont="1" applyFill="1" applyBorder="1" applyAlignment="1">
      <alignment horizontal="distributed" vertical="center" justifyLastLine="1"/>
    </xf>
    <xf numFmtId="0" fontId="2" fillId="0" borderId="0" xfId="0" applyFont="1" applyBorder="1" applyAlignment="1">
      <alignment horizontal="center" vertical="center"/>
    </xf>
    <xf numFmtId="38" fontId="2" fillId="0" borderId="0" xfId="1" applyFont="1" applyBorder="1" applyAlignment="1">
      <alignment vertical="center"/>
    </xf>
    <xf numFmtId="177" fontId="2" fillId="0" borderId="0" xfId="0" applyNumberFormat="1" applyFont="1" applyBorder="1" applyAlignment="1">
      <alignment vertical="center"/>
    </xf>
    <xf numFmtId="9" fontId="2" fillId="0" borderId="0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Fill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38" fontId="2" fillId="2" borderId="3" xfId="1" applyFont="1" applyFill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38" fontId="2" fillId="0" borderId="7" xfId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182" fontId="2" fillId="0" borderId="7" xfId="0" applyNumberFormat="1" applyFont="1" applyBorder="1" applyAlignment="1">
      <alignment vertical="center"/>
    </xf>
    <xf numFmtId="182" fontId="2" fillId="0" borderId="7" xfId="2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38" fontId="2" fillId="0" borderId="5" xfId="1" applyFont="1" applyBorder="1" applyAlignment="1">
      <alignment vertical="center"/>
    </xf>
    <xf numFmtId="9" fontId="2" fillId="0" borderId="5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0" xfId="0" applyFont="1" applyBorder="1" applyAlignment="1"/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/>
    </xf>
    <xf numFmtId="38" fontId="2" fillId="0" borderId="0" xfId="1" applyFont="1" applyFill="1" applyBorder="1" applyAlignment="1"/>
    <xf numFmtId="38" fontId="2" fillId="0" borderId="0" xfId="1" applyFont="1" applyBorder="1" applyAlignment="1"/>
    <xf numFmtId="38" fontId="2" fillId="0" borderId="5" xfId="1" applyFont="1" applyBorder="1" applyAlignment="1"/>
    <xf numFmtId="0" fontId="2" fillId="0" borderId="5" xfId="0" applyFont="1" applyBorder="1">
      <alignment vertical="center"/>
    </xf>
    <xf numFmtId="9" fontId="2" fillId="0" borderId="5" xfId="2" applyFont="1" applyBorder="1" applyAlignment="1">
      <alignment horizontal="center"/>
    </xf>
    <xf numFmtId="9" fontId="2" fillId="0" borderId="5" xfId="2" applyFont="1" applyFill="1" applyBorder="1" applyAlignment="1">
      <alignment horizontal="center"/>
    </xf>
    <xf numFmtId="38" fontId="2" fillId="2" borderId="3" xfId="1" applyFont="1" applyFill="1" applyBorder="1" applyAlignment="1"/>
    <xf numFmtId="38" fontId="2" fillId="0" borderId="3" xfId="1" applyFont="1" applyBorder="1" applyAlignme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38" fontId="2" fillId="2" borderId="1" xfId="1" applyFont="1" applyFill="1" applyBorder="1" applyAlignment="1"/>
    <xf numFmtId="38" fontId="2" fillId="2" borderId="2" xfId="1" applyFont="1" applyFill="1" applyBorder="1" applyAlignment="1"/>
    <xf numFmtId="184" fontId="2" fillId="0" borderId="1" xfId="0" applyNumberFormat="1" applyFont="1" applyFill="1" applyBorder="1" applyAlignment="1">
      <alignment horizontal="right" vertical="center"/>
    </xf>
    <xf numFmtId="184" fontId="2" fillId="0" borderId="2" xfId="0" applyNumberFormat="1" applyFont="1" applyFill="1" applyBorder="1" applyAlignment="1">
      <alignment horizontal="right" vertical="center"/>
    </xf>
    <xf numFmtId="184" fontId="2" fillId="0" borderId="3" xfId="0" applyNumberFormat="1" applyFont="1" applyFill="1" applyBorder="1" applyAlignment="1">
      <alignment horizontal="right" vertical="center"/>
    </xf>
    <xf numFmtId="38" fontId="2" fillId="0" borderId="4" xfId="1" applyFont="1" applyBorder="1" applyAlignment="1"/>
    <xf numFmtId="182" fontId="2" fillId="0" borderId="4" xfId="0" applyNumberFormat="1" applyFont="1" applyBorder="1">
      <alignment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38" fontId="2" fillId="0" borderId="1" xfId="1" applyFont="1" applyBorder="1" applyAlignment="1"/>
    <xf numFmtId="38" fontId="2" fillId="0" borderId="2" xfId="1" applyFont="1" applyBorder="1" applyAlignment="1"/>
    <xf numFmtId="0" fontId="2" fillId="0" borderId="4" xfId="0" applyFont="1" applyBorder="1" applyAlignment="1">
      <alignment horizontal="center"/>
    </xf>
    <xf numFmtId="2" fontId="2" fillId="0" borderId="4" xfId="0" applyNumberFormat="1" applyFont="1" applyBorder="1">
      <alignment vertical="center"/>
    </xf>
    <xf numFmtId="40" fontId="2" fillId="0" borderId="4" xfId="1" applyNumberFormat="1" applyFont="1" applyBorder="1" applyAlignment="1">
      <alignment horizontal="center"/>
    </xf>
    <xf numFmtId="38" fontId="2" fillId="0" borderId="4" xfId="1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40" fontId="2" fillId="0" borderId="4" xfId="0" applyNumberFormat="1" applyFont="1" applyBorder="1" applyAlignment="1">
      <alignment horizontal="right" vertical="center"/>
    </xf>
    <xf numFmtId="38" fontId="2" fillId="0" borderId="4" xfId="1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82" fontId="2" fillId="0" borderId="4" xfId="0" applyNumberFormat="1" applyFont="1" applyBorder="1" applyAlignment="1">
      <alignment horizontal="right" vertical="center"/>
    </xf>
    <xf numFmtId="176" fontId="2" fillId="0" borderId="4" xfId="1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83" fontId="2" fillId="0" borderId="4" xfId="0" applyNumberFormat="1" applyFont="1" applyFill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38" fontId="2" fillId="0" borderId="1" xfId="1" applyFont="1" applyBorder="1" applyAlignment="1">
      <alignment vertical="center"/>
    </xf>
    <xf numFmtId="38" fontId="2" fillId="0" borderId="2" xfId="1" applyFont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2" fontId="2" fillId="0" borderId="4" xfId="0" applyNumberFormat="1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38" fontId="2" fillId="2" borderId="1" xfId="1" applyFont="1" applyFill="1" applyBorder="1" applyAlignment="1">
      <alignment vertical="center"/>
    </xf>
    <xf numFmtId="38" fontId="2" fillId="2" borderId="2" xfId="1" applyFont="1" applyFill="1" applyBorder="1" applyAlignment="1">
      <alignment vertical="center"/>
    </xf>
    <xf numFmtId="182" fontId="2" fillId="0" borderId="1" xfId="0" applyNumberFormat="1" applyFont="1" applyFill="1" applyBorder="1" applyAlignment="1">
      <alignment horizontal="right" vertical="center"/>
    </xf>
    <xf numFmtId="182" fontId="2" fillId="0" borderId="2" xfId="0" applyNumberFormat="1" applyFont="1" applyFill="1" applyBorder="1" applyAlignment="1">
      <alignment horizontal="right" vertical="center"/>
    </xf>
    <xf numFmtId="182" fontId="2" fillId="0" borderId="3" xfId="0" applyNumberFormat="1" applyFont="1" applyFill="1" applyBorder="1" applyAlignment="1">
      <alignment horizontal="right" vertical="center"/>
    </xf>
    <xf numFmtId="182" fontId="2" fillId="0" borderId="4" xfId="0" applyNumberFormat="1" applyFont="1" applyBorder="1" applyAlignment="1">
      <alignment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40" fontId="2" fillId="0" borderId="1" xfId="1" applyNumberFormat="1" applyFont="1" applyBorder="1" applyAlignment="1">
      <alignment horizontal="center" vertical="center"/>
    </xf>
    <xf numFmtId="40" fontId="2" fillId="0" borderId="2" xfId="1" applyNumberFormat="1" applyFont="1" applyBorder="1" applyAlignment="1">
      <alignment horizontal="center" vertical="center"/>
    </xf>
    <xf numFmtId="40" fontId="2" fillId="0" borderId="3" xfId="1" applyNumberFormat="1" applyFont="1" applyBorder="1" applyAlignment="1">
      <alignment horizontal="center" vertical="center"/>
    </xf>
    <xf numFmtId="38" fontId="2" fillId="0" borderId="4" xfId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horizontal="distributed" vertical="center" justifyLastLine="1"/>
    </xf>
    <xf numFmtId="181" fontId="2" fillId="0" borderId="4" xfId="0" applyNumberFormat="1" applyFont="1" applyBorder="1" applyAlignment="1">
      <alignment vertical="center"/>
    </xf>
    <xf numFmtId="178" fontId="2" fillId="0" borderId="4" xfId="2" applyNumberFormat="1" applyFont="1" applyBorder="1" applyAlignment="1">
      <alignment vertical="center"/>
    </xf>
    <xf numFmtId="38" fontId="2" fillId="0" borderId="4" xfId="1" applyNumberFormat="1" applyFont="1" applyFill="1" applyBorder="1" applyAlignment="1">
      <alignment vertical="center"/>
    </xf>
    <xf numFmtId="38" fontId="2" fillId="0" borderId="3" xfId="1" applyFont="1" applyBorder="1" applyAlignment="1">
      <alignment vertical="center"/>
    </xf>
    <xf numFmtId="38" fontId="2" fillId="0" borderId="1" xfId="1" applyFont="1" applyFill="1" applyBorder="1" applyAlignment="1">
      <alignment vertical="center"/>
    </xf>
    <xf numFmtId="38" fontId="2" fillId="0" borderId="2" xfId="1" applyFont="1" applyFill="1" applyBorder="1" applyAlignment="1">
      <alignment vertical="center"/>
    </xf>
    <xf numFmtId="38" fontId="2" fillId="0" borderId="3" xfId="1" applyFont="1" applyFill="1" applyBorder="1" applyAlignment="1">
      <alignment vertical="center"/>
    </xf>
    <xf numFmtId="176" fontId="2" fillId="0" borderId="1" xfId="1" applyNumberFormat="1" applyFont="1" applyBorder="1" applyAlignment="1">
      <alignment vertical="center"/>
    </xf>
    <xf numFmtId="176" fontId="2" fillId="0" borderId="2" xfId="1" applyNumberFormat="1" applyFont="1" applyBorder="1" applyAlignment="1">
      <alignment vertical="center"/>
    </xf>
    <xf numFmtId="176" fontId="2" fillId="0" borderId="3" xfId="1" applyNumberFormat="1" applyFont="1" applyBorder="1" applyAlignment="1">
      <alignment vertical="center"/>
    </xf>
    <xf numFmtId="38" fontId="2" fillId="0" borderId="1" xfId="1" applyNumberFormat="1" applyFont="1" applyBorder="1" applyAlignment="1">
      <alignment vertical="center"/>
    </xf>
    <xf numFmtId="38" fontId="2" fillId="0" borderId="3" xfId="1" applyNumberFormat="1" applyFont="1" applyBorder="1" applyAlignment="1">
      <alignment vertical="center"/>
    </xf>
    <xf numFmtId="40" fontId="2" fillId="0" borderId="1" xfId="1" applyNumberFormat="1" applyFont="1" applyBorder="1" applyAlignment="1">
      <alignment vertical="center"/>
    </xf>
    <xf numFmtId="40" fontId="2" fillId="0" borderId="2" xfId="1" applyNumberFormat="1" applyFont="1" applyBorder="1" applyAlignment="1">
      <alignment vertical="center"/>
    </xf>
    <xf numFmtId="40" fontId="2" fillId="0" borderId="3" xfId="1" applyNumberFormat="1" applyFont="1" applyBorder="1" applyAlignment="1">
      <alignment vertical="center"/>
    </xf>
    <xf numFmtId="38" fontId="2" fillId="0" borderId="1" xfId="1" applyFont="1" applyFill="1" applyBorder="1" applyAlignment="1">
      <alignment horizontal="center" vertical="center"/>
    </xf>
    <xf numFmtId="38" fontId="2" fillId="0" borderId="2" xfId="1" applyFont="1" applyFill="1" applyBorder="1" applyAlignment="1">
      <alignment horizontal="center" vertical="center"/>
    </xf>
    <xf numFmtId="38" fontId="2" fillId="0" borderId="3" xfId="1" applyFont="1" applyFill="1" applyBorder="1" applyAlignment="1">
      <alignment horizontal="center" vertical="center"/>
    </xf>
    <xf numFmtId="38" fontId="2" fillId="0" borderId="6" xfId="1" applyFont="1" applyBorder="1" applyAlignment="1">
      <alignment horizontal="center" vertical="center"/>
    </xf>
    <xf numFmtId="38" fontId="2" fillId="0" borderId="7" xfId="1" applyFont="1" applyBorder="1" applyAlignment="1">
      <alignment horizontal="center" vertical="center"/>
    </xf>
    <xf numFmtId="38" fontId="2" fillId="0" borderId="8" xfId="1" applyFont="1" applyBorder="1" applyAlignment="1">
      <alignment horizontal="center" vertical="center"/>
    </xf>
    <xf numFmtId="38" fontId="2" fillId="0" borderId="18" xfId="1" applyFont="1" applyBorder="1" applyAlignment="1">
      <alignment horizontal="center" vertical="center"/>
    </xf>
    <xf numFmtId="38" fontId="2" fillId="0" borderId="5" xfId="1" applyFont="1" applyBorder="1" applyAlignment="1">
      <alignment horizontal="center" vertical="center"/>
    </xf>
    <xf numFmtId="38" fontId="2" fillId="0" borderId="19" xfId="1" applyFont="1" applyBorder="1" applyAlignment="1">
      <alignment horizontal="center" vertical="center"/>
    </xf>
    <xf numFmtId="38" fontId="2" fillId="2" borderId="6" xfId="1" applyNumberFormat="1" applyFont="1" applyFill="1" applyBorder="1" applyAlignment="1">
      <alignment vertical="center"/>
    </xf>
    <xf numFmtId="38" fontId="2" fillId="2" borderId="8" xfId="1" applyNumberFormat="1" applyFont="1" applyFill="1" applyBorder="1" applyAlignment="1">
      <alignment vertical="center"/>
    </xf>
    <xf numFmtId="38" fontId="2" fillId="2" borderId="18" xfId="1" applyNumberFormat="1" applyFont="1" applyFill="1" applyBorder="1" applyAlignment="1">
      <alignment vertical="center"/>
    </xf>
    <xf numFmtId="38" fontId="2" fillId="2" borderId="19" xfId="1" applyNumberFormat="1" applyFont="1" applyFill="1" applyBorder="1" applyAlignment="1">
      <alignment vertical="center"/>
    </xf>
    <xf numFmtId="38" fontId="2" fillId="0" borderId="28" xfId="1" applyNumberFormat="1" applyFont="1" applyFill="1" applyBorder="1" applyAlignment="1">
      <alignment vertical="center"/>
    </xf>
    <xf numFmtId="38" fontId="2" fillId="0" borderId="29" xfId="1" applyNumberFormat="1" applyFont="1" applyFill="1" applyBorder="1" applyAlignment="1">
      <alignment vertical="center"/>
    </xf>
    <xf numFmtId="181" fontId="2" fillId="0" borderId="4" xfId="0" applyNumberFormat="1" applyFont="1" applyFill="1" applyBorder="1" applyAlignment="1">
      <alignment vertical="center"/>
    </xf>
    <xf numFmtId="0" fontId="2" fillId="0" borderId="4" xfId="0" applyFont="1" applyBorder="1" applyAlignment="1">
      <alignment vertical="top"/>
    </xf>
    <xf numFmtId="38" fontId="2" fillId="0" borderId="1" xfId="1" applyFont="1" applyBorder="1" applyAlignment="1">
      <alignment horizontal="center" vertical="center"/>
    </xf>
    <xf numFmtId="38" fontId="2" fillId="0" borderId="2" xfId="1" applyFont="1" applyBorder="1" applyAlignment="1">
      <alignment horizontal="center" vertical="center"/>
    </xf>
    <xf numFmtId="38" fontId="2" fillId="0" borderId="3" xfId="1" applyFont="1" applyBorder="1" applyAlignment="1">
      <alignment horizontal="center" vertical="center"/>
    </xf>
    <xf numFmtId="38" fontId="2" fillId="2" borderId="4" xfId="1" applyNumberFormat="1" applyFont="1" applyFill="1" applyBorder="1" applyAlignment="1">
      <alignment vertical="center"/>
    </xf>
    <xf numFmtId="38" fontId="2" fillId="0" borderId="6" xfId="1" applyNumberFormat="1" applyFont="1" applyBorder="1" applyAlignment="1">
      <alignment vertical="center"/>
    </xf>
    <xf numFmtId="38" fontId="2" fillId="0" borderId="8" xfId="1" applyNumberFormat="1" applyFont="1" applyBorder="1" applyAlignment="1">
      <alignment vertical="center"/>
    </xf>
    <xf numFmtId="38" fontId="2" fillId="0" borderId="18" xfId="1" applyNumberFormat="1" applyFont="1" applyBorder="1" applyAlignment="1">
      <alignment vertical="center"/>
    </xf>
    <xf numFmtId="38" fontId="2" fillId="0" borderId="19" xfId="1" applyNumberFormat="1" applyFont="1" applyBorder="1" applyAlignment="1">
      <alignment vertical="center"/>
    </xf>
    <xf numFmtId="0" fontId="2" fillId="4" borderId="5" xfId="0" applyFont="1" applyFill="1" applyBorder="1" applyAlignment="1">
      <alignment vertical="center"/>
    </xf>
    <xf numFmtId="0" fontId="2" fillId="0" borderId="5" xfId="0" applyFont="1" applyBorder="1" applyAlignment="1">
      <alignment horizontal="right" vertical="center"/>
    </xf>
    <xf numFmtId="0" fontId="2" fillId="0" borderId="5" xfId="0" applyFont="1" applyBorder="1" applyAlignment="1">
      <alignment vertical="center"/>
    </xf>
    <xf numFmtId="38" fontId="2" fillId="5" borderId="30" xfId="1" applyNumberFormat="1" applyFont="1" applyFill="1" applyBorder="1" applyAlignment="1">
      <alignment horizontal="right" vertical="center"/>
    </xf>
    <xf numFmtId="38" fontId="2" fillId="5" borderId="31" xfId="1" applyNumberFormat="1" applyFont="1" applyFill="1" applyBorder="1" applyAlignment="1">
      <alignment horizontal="right" vertical="center"/>
    </xf>
    <xf numFmtId="0" fontId="2" fillId="0" borderId="9" xfId="0" applyFont="1" applyBorder="1" applyAlignment="1">
      <alignment horizontal="center" vertical="center" textRotation="255"/>
    </xf>
    <xf numFmtId="0" fontId="2" fillId="0" borderId="11" xfId="0" applyFont="1" applyBorder="1" applyAlignment="1">
      <alignment horizontal="center" vertical="center" textRotation="255"/>
    </xf>
    <xf numFmtId="176" fontId="2" fillId="0" borderId="27" xfId="1" applyNumberFormat="1" applyFont="1" applyFill="1" applyBorder="1" applyAlignment="1">
      <alignment vertical="center" justifyLastLine="1"/>
    </xf>
    <xf numFmtId="176" fontId="2" fillId="0" borderId="21" xfId="1" applyNumberFormat="1" applyFont="1" applyFill="1" applyBorder="1" applyAlignment="1">
      <alignment vertical="center" justifyLastLine="1"/>
    </xf>
    <xf numFmtId="38" fontId="2" fillId="0" borderId="21" xfId="1" applyFont="1" applyFill="1" applyBorder="1" applyAlignment="1">
      <alignment horizontal="distributed" vertical="center" justifyLastLine="1"/>
    </xf>
    <xf numFmtId="38" fontId="2" fillId="0" borderId="22" xfId="1" applyFont="1" applyFill="1" applyBorder="1" applyAlignment="1">
      <alignment horizontal="distributed" vertical="center" justifyLastLine="1"/>
    </xf>
    <xf numFmtId="180" fontId="2" fillId="0" borderId="4" xfId="1" applyNumberFormat="1" applyFont="1" applyFill="1" applyBorder="1" applyAlignment="1">
      <alignment horizontal="distributed" vertical="center" justifyLastLine="1"/>
    </xf>
    <xf numFmtId="38" fontId="2" fillId="0" borderId="4" xfId="1" applyFont="1" applyFill="1" applyBorder="1" applyAlignment="1">
      <alignment horizontal="distributed" vertical="center" justifyLastLine="1"/>
    </xf>
    <xf numFmtId="178" fontId="2" fillId="0" borderId="27" xfId="2" applyNumberFormat="1" applyFont="1" applyFill="1" applyBorder="1" applyAlignment="1">
      <alignment vertical="center" justifyLastLine="1"/>
    </xf>
    <xf numFmtId="178" fontId="2" fillId="0" borderId="21" xfId="2" applyNumberFormat="1" applyFont="1" applyFill="1" applyBorder="1" applyAlignment="1">
      <alignment vertical="center" justifyLastLine="1"/>
    </xf>
    <xf numFmtId="177" fontId="2" fillId="0" borderId="4" xfId="0" applyNumberFormat="1" applyFont="1" applyBorder="1" applyAlignment="1">
      <alignment vertical="center"/>
    </xf>
    <xf numFmtId="9" fontId="2" fillId="0" borderId="4" xfId="0" applyNumberFormat="1" applyFont="1" applyBorder="1" applyAlignment="1">
      <alignment horizontal="center" vertical="center"/>
    </xf>
    <xf numFmtId="0" fontId="2" fillId="4" borderId="0" xfId="0" applyFont="1" applyFill="1" applyAlignment="1">
      <alignment vertical="center"/>
    </xf>
    <xf numFmtId="38" fontId="2" fillId="0" borderId="0" xfId="1" applyFont="1" applyFill="1" applyBorder="1" applyAlignment="1">
      <alignment horizontal="distributed" vertical="center" justifyLastLine="1"/>
    </xf>
    <xf numFmtId="180" fontId="2" fillId="0" borderId="0" xfId="1" applyNumberFormat="1" applyFont="1" applyFill="1" applyBorder="1" applyAlignment="1">
      <alignment horizontal="distributed" vertical="center" justifyLastLine="1"/>
    </xf>
    <xf numFmtId="178" fontId="2" fillId="0" borderId="4" xfId="2" applyNumberFormat="1" applyFont="1" applyBorder="1" applyAlignment="1">
      <alignment horizontal="center" vertical="center"/>
    </xf>
    <xf numFmtId="38" fontId="2" fillId="4" borderId="4" xfId="1" applyFont="1" applyFill="1" applyBorder="1" applyAlignment="1">
      <alignment horizontal="distributed" vertical="center" justifyLastLine="1"/>
    </xf>
    <xf numFmtId="179" fontId="2" fillId="4" borderId="1" xfId="1" applyNumberFormat="1" applyFont="1" applyFill="1" applyBorder="1" applyAlignment="1">
      <alignment horizontal="right" vertical="center" justifyLastLine="1"/>
    </xf>
    <xf numFmtId="179" fontId="2" fillId="4" borderId="2" xfId="1" applyNumberFormat="1" applyFont="1" applyFill="1" applyBorder="1" applyAlignment="1">
      <alignment horizontal="right" vertical="center" justifyLastLine="1"/>
    </xf>
    <xf numFmtId="179" fontId="2" fillId="4" borderId="20" xfId="1" applyNumberFormat="1" applyFont="1" applyFill="1" applyBorder="1" applyAlignment="1">
      <alignment horizontal="right" vertical="center" justifyLastLine="1"/>
    </xf>
    <xf numFmtId="38" fontId="2" fillId="4" borderId="21" xfId="1" applyFont="1" applyFill="1" applyBorder="1" applyAlignment="1">
      <alignment horizontal="distributed" vertical="center" justifyLastLine="1"/>
    </xf>
    <xf numFmtId="38" fontId="2" fillId="4" borderId="22" xfId="1" applyFont="1" applyFill="1" applyBorder="1" applyAlignment="1">
      <alignment horizontal="distributed" vertical="center" justifyLastLine="1"/>
    </xf>
    <xf numFmtId="178" fontId="2" fillId="4" borderId="11" xfId="1" applyNumberFormat="1" applyFont="1" applyFill="1" applyBorder="1" applyAlignment="1">
      <alignment horizontal="distributed" vertical="center" justifyLastLine="1"/>
    </xf>
    <xf numFmtId="38" fontId="2" fillId="0" borderId="6" xfId="1" applyFont="1" applyFill="1" applyBorder="1" applyAlignment="1">
      <alignment horizontal="distributed" vertical="center" wrapText="1" justifyLastLine="1"/>
    </xf>
    <xf numFmtId="38" fontId="2" fillId="0" borderId="7" xfId="1" applyFont="1" applyFill="1" applyBorder="1" applyAlignment="1">
      <alignment horizontal="distributed" vertical="center" justifyLastLine="1"/>
    </xf>
    <xf numFmtId="38" fontId="2" fillId="0" borderId="8" xfId="1" applyFont="1" applyFill="1" applyBorder="1" applyAlignment="1">
      <alignment horizontal="distributed" vertical="center" justifyLastLine="1"/>
    </xf>
    <xf numFmtId="38" fontId="2" fillId="0" borderId="18" xfId="1" applyFont="1" applyFill="1" applyBorder="1" applyAlignment="1">
      <alignment horizontal="distributed" vertical="center" justifyLastLine="1"/>
    </xf>
    <xf numFmtId="38" fontId="2" fillId="0" borderId="5" xfId="1" applyFont="1" applyFill="1" applyBorder="1" applyAlignment="1">
      <alignment horizontal="distributed" vertical="center" justifyLastLine="1"/>
    </xf>
    <xf numFmtId="38" fontId="2" fillId="0" borderId="19" xfId="1" applyFont="1" applyFill="1" applyBorder="1" applyAlignment="1">
      <alignment horizontal="distributed" vertical="center" justifyLastLine="1"/>
    </xf>
    <xf numFmtId="176" fontId="2" fillId="0" borderId="6" xfId="1" applyNumberFormat="1" applyFont="1" applyFill="1" applyBorder="1" applyAlignment="1">
      <alignment horizontal="right" vertical="center" justifyLastLine="1"/>
    </xf>
    <xf numFmtId="176" fontId="2" fillId="0" borderId="7" xfId="1" applyNumberFormat="1" applyFont="1" applyFill="1" applyBorder="1" applyAlignment="1">
      <alignment horizontal="right" vertical="center" justifyLastLine="1"/>
    </xf>
    <xf numFmtId="176" fontId="2" fillId="0" borderId="23" xfId="1" applyNumberFormat="1" applyFont="1" applyFill="1" applyBorder="1" applyAlignment="1">
      <alignment horizontal="right" vertical="center" justifyLastLine="1"/>
    </xf>
    <xf numFmtId="176" fontId="2" fillId="0" borderId="18" xfId="1" applyNumberFormat="1" applyFont="1" applyFill="1" applyBorder="1" applyAlignment="1">
      <alignment horizontal="right" vertical="center" justifyLastLine="1"/>
    </xf>
    <xf numFmtId="176" fontId="2" fillId="0" borderId="5" xfId="1" applyNumberFormat="1" applyFont="1" applyFill="1" applyBorder="1" applyAlignment="1">
      <alignment horizontal="right" vertical="center" justifyLastLine="1"/>
    </xf>
    <xf numFmtId="176" fontId="2" fillId="0" borderId="25" xfId="1" applyNumberFormat="1" applyFont="1" applyFill="1" applyBorder="1" applyAlignment="1">
      <alignment horizontal="right" vertical="center" justifyLastLine="1"/>
    </xf>
    <xf numFmtId="38" fontId="2" fillId="0" borderId="24" xfId="1" applyFont="1" applyFill="1" applyBorder="1" applyAlignment="1">
      <alignment horizontal="distributed" vertical="center" justifyLastLine="1"/>
    </xf>
    <xf numFmtId="38" fontId="2" fillId="0" borderId="26" xfId="1" applyFont="1" applyFill="1" applyBorder="1" applyAlignment="1">
      <alignment horizontal="distributed" vertical="center" justifyLastLine="1"/>
    </xf>
    <xf numFmtId="178" fontId="2" fillId="0" borderId="6" xfId="1" applyNumberFormat="1" applyFont="1" applyFill="1" applyBorder="1" applyAlignment="1">
      <alignment horizontal="distributed" vertical="center" justifyLastLine="1"/>
    </xf>
    <xf numFmtId="178" fontId="2" fillId="0" borderId="8" xfId="1" applyNumberFormat="1" applyFont="1" applyFill="1" applyBorder="1" applyAlignment="1">
      <alignment horizontal="distributed" vertical="center" justifyLastLine="1"/>
    </xf>
    <xf numFmtId="178" fontId="2" fillId="0" borderId="18" xfId="1" applyNumberFormat="1" applyFont="1" applyFill="1" applyBorder="1" applyAlignment="1">
      <alignment horizontal="distributed" vertical="center" justifyLastLine="1"/>
    </xf>
    <xf numFmtId="178" fontId="2" fillId="0" borderId="19" xfId="1" applyNumberFormat="1" applyFont="1" applyFill="1" applyBorder="1" applyAlignment="1">
      <alignment horizontal="distributed" vertical="center" justifyLastLine="1"/>
    </xf>
    <xf numFmtId="38" fontId="2" fillId="0" borderId="6" xfId="1" applyFont="1" applyFill="1" applyBorder="1" applyAlignment="1">
      <alignment vertical="center" wrapText="1" justifyLastLine="1"/>
    </xf>
    <xf numFmtId="38" fontId="2" fillId="0" borderId="7" xfId="1" applyFont="1" applyFill="1" applyBorder="1" applyAlignment="1">
      <alignment vertical="center" justifyLastLine="1"/>
    </xf>
    <xf numFmtId="38" fontId="2" fillId="0" borderId="8" xfId="1" applyFont="1" applyFill="1" applyBorder="1" applyAlignment="1">
      <alignment vertical="center" justifyLastLine="1"/>
    </xf>
    <xf numFmtId="38" fontId="2" fillId="0" borderId="18" xfId="1" applyFont="1" applyFill="1" applyBorder="1" applyAlignment="1">
      <alignment vertical="center" justifyLastLine="1"/>
    </xf>
    <xf numFmtId="38" fontId="2" fillId="0" borderId="5" xfId="1" applyFont="1" applyFill="1" applyBorder="1" applyAlignment="1">
      <alignment vertical="center" justifyLastLine="1"/>
    </xf>
    <xf numFmtId="38" fontId="2" fillId="0" borderId="19" xfId="1" applyFont="1" applyFill="1" applyBorder="1" applyAlignment="1">
      <alignment vertical="center" justifyLastLine="1"/>
    </xf>
    <xf numFmtId="0" fontId="2" fillId="2" borderId="4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176" fontId="2" fillId="0" borderId="1" xfId="1" applyNumberFormat="1" applyFont="1" applyFill="1" applyBorder="1" applyAlignment="1">
      <alignment horizontal="right" vertical="center" justifyLastLine="1"/>
    </xf>
    <xf numFmtId="176" fontId="2" fillId="0" borderId="2" xfId="1" applyNumberFormat="1" applyFont="1" applyFill="1" applyBorder="1" applyAlignment="1">
      <alignment horizontal="right" vertical="center" justifyLastLine="1"/>
    </xf>
    <xf numFmtId="176" fontId="2" fillId="0" borderId="20" xfId="1" applyNumberFormat="1" applyFont="1" applyFill="1" applyBorder="1" applyAlignment="1">
      <alignment horizontal="right" vertical="center" justifyLastLine="1"/>
    </xf>
    <xf numFmtId="178" fontId="2" fillId="0" borderId="1" xfId="1" applyNumberFormat="1" applyFont="1" applyFill="1" applyBorder="1" applyAlignment="1">
      <alignment horizontal="distributed" vertical="center" justifyLastLine="1"/>
    </xf>
    <xf numFmtId="178" fontId="2" fillId="0" borderId="3" xfId="1" applyNumberFormat="1" applyFont="1" applyFill="1" applyBorder="1" applyAlignment="1">
      <alignment horizontal="distributed" vertical="center" justifyLastLine="1"/>
    </xf>
    <xf numFmtId="38" fontId="2" fillId="0" borderId="1" xfId="1" applyFont="1" applyFill="1" applyBorder="1" applyAlignment="1">
      <alignment vertical="center" justifyLastLine="1"/>
    </xf>
    <xf numFmtId="38" fontId="2" fillId="0" borderId="2" xfId="1" applyFont="1" applyFill="1" applyBorder="1" applyAlignment="1">
      <alignment vertical="center" justifyLastLine="1"/>
    </xf>
    <xf numFmtId="38" fontId="2" fillId="0" borderId="3" xfId="1" applyFont="1" applyFill="1" applyBorder="1" applyAlignment="1">
      <alignment vertical="center" justifyLastLine="1"/>
    </xf>
    <xf numFmtId="38" fontId="2" fillId="0" borderId="4" xfId="1" applyFont="1" applyBorder="1" applyAlignment="1">
      <alignment horizontal="distributed" vertical="center" justifyLastLine="1"/>
    </xf>
    <xf numFmtId="176" fontId="2" fillId="0" borderId="1" xfId="1" applyNumberFormat="1" applyFont="1" applyBorder="1" applyAlignment="1">
      <alignment horizontal="right" vertical="center" justifyLastLine="1"/>
    </xf>
    <xf numFmtId="176" fontId="2" fillId="0" borderId="2" xfId="1" applyNumberFormat="1" applyFont="1" applyBorder="1" applyAlignment="1">
      <alignment horizontal="right" vertical="center" justifyLastLine="1"/>
    </xf>
    <xf numFmtId="176" fontId="2" fillId="0" borderId="20" xfId="1" applyNumberFormat="1" applyFont="1" applyBorder="1" applyAlignment="1">
      <alignment horizontal="right" vertical="center" justifyLastLine="1"/>
    </xf>
    <xf numFmtId="38" fontId="2" fillId="0" borderId="21" xfId="1" applyFont="1" applyBorder="1" applyAlignment="1">
      <alignment horizontal="distributed" vertical="center" justifyLastLine="1"/>
    </xf>
    <xf numFmtId="38" fontId="2" fillId="0" borderId="22" xfId="1" applyFont="1" applyBorder="1" applyAlignment="1">
      <alignment horizontal="distributed" vertical="center" justifyLastLine="1"/>
    </xf>
    <xf numFmtId="176" fontId="2" fillId="4" borderId="1" xfId="1" applyNumberFormat="1" applyFont="1" applyFill="1" applyBorder="1" applyAlignment="1">
      <alignment horizontal="right" vertical="center" justifyLastLine="1"/>
    </xf>
    <xf numFmtId="176" fontId="2" fillId="4" borderId="2" xfId="1" applyNumberFormat="1" applyFont="1" applyFill="1" applyBorder="1" applyAlignment="1">
      <alignment horizontal="right" vertical="center" justifyLastLine="1"/>
    </xf>
    <xf numFmtId="176" fontId="2" fillId="4" borderId="20" xfId="1" applyNumberFormat="1" applyFont="1" applyFill="1" applyBorder="1" applyAlignment="1">
      <alignment horizontal="right" vertical="center" justifyLastLine="1"/>
    </xf>
    <xf numFmtId="178" fontId="2" fillId="4" borderId="1" xfId="1" applyNumberFormat="1" applyFont="1" applyFill="1" applyBorder="1" applyAlignment="1">
      <alignment horizontal="distributed" vertical="center" justifyLastLine="1"/>
    </xf>
    <xf numFmtId="178" fontId="2" fillId="4" borderId="3" xfId="1" applyNumberFormat="1" applyFont="1" applyFill="1" applyBorder="1" applyAlignment="1">
      <alignment horizontal="distributed" vertical="center" justifyLastLine="1"/>
    </xf>
    <xf numFmtId="0" fontId="2" fillId="3" borderId="5" xfId="0" applyFont="1" applyFill="1" applyBorder="1" applyAlignment="1">
      <alignment horizontal="center" vertical="center"/>
    </xf>
    <xf numFmtId="38" fontId="2" fillId="0" borderId="1" xfId="1" applyFont="1" applyBorder="1" applyAlignment="1">
      <alignment horizontal="left" vertical="center" justifyLastLine="1"/>
    </xf>
    <xf numFmtId="38" fontId="2" fillId="0" borderId="2" xfId="1" applyFont="1" applyBorder="1" applyAlignment="1">
      <alignment horizontal="left" vertical="center" justifyLastLine="1"/>
    </xf>
    <xf numFmtId="38" fontId="2" fillId="0" borderId="3" xfId="1" applyFont="1" applyBorder="1" applyAlignment="1">
      <alignment horizontal="left" vertical="center" justifyLastLine="1"/>
    </xf>
    <xf numFmtId="176" fontId="2" fillId="2" borderId="1" xfId="1" applyNumberFormat="1" applyFont="1" applyFill="1" applyBorder="1" applyAlignment="1">
      <alignment vertical="center"/>
    </xf>
    <xf numFmtId="176" fontId="2" fillId="2" borderId="2" xfId="1" applyNumberFormat="1" applyFont="1" applyFill="1" applyBorder="1" applyAlignment="1">
      <alignment vertical="center"/>
    </xf>
    <xf numFmtId="38" fontId="2" fillId="3" borderId="4" xfId="1" applyFont="1" applyFill="1" applyBorder="1" applyAlignment="1">
      <alignment horizontal="distributed" vertical="center" justifyLastLine="1"/>
    </xf>
    <xf numFmtId="176" fontId="2" fillId="3" borderId="1" xfId="1" applyNumberFormat="1" applyFont="1" applyFill="1" applyBorder="1" applyAlignment="1">
      <alignment horizontal="right" vertical="center" justifyLastLine="1"/>
    </xf>
    <xf numFmtId="176" fontId="2" fillId="3" borderId="2" xfId="1" applyNumberFormat="1" applyFont="1" applyFill="1" applyBorder="1" applyAlignment="1">
      <alignment horizontal="right" vertical="center" justifyLastLine="1"/>
    </xf>
    <xf numFmtId="176" fontId="2" fillId="3" borderId="20" xfId="1" applyNumberFormat="1" applyFont="1" applyFill="1" applyBorder="1" applyAlignment="1">
      <alignment horizontal="right" vertical="center" justifyLastLine="1"/>
    </xf>
    <xf numFmtId="38" fontId="2" fillId="3" borderId="21" xfId="1" applyFont="1" applyFill="1" applyBorder="1" applyAlignment="1">
      <alignment horizontal="distributed" vertical="center" justifyLastLine="1"/>
    </xf>
    <xf numFmtId="38" fontId="2" fillId="3" borderId="22" xfId="1" applyFont="1" applyFill="1" applyBorder="1" applyAlignment="1">
      <alignment horizontal="distributed" vertical="center" justifyLastLine="1"/>
    </xf>
    <xf numFmtId="178" fontId="2" fillId="3" borderId="1" xfId="1" applyNumberFormat="1" applyFont="1" applyFill="1" applyBorder="1" applyAlignment="1">
      <alignment horizontal="distributed" vertical="center" justifyLastLine="1"/>
    </xf>
    <xf numFmtId="178" fontId="2" fillId="3" borderId="3" xfId="1" applyNumberFormat="1" applyFont="1" applyFill="1" applyBorder="1" applyAlignment="1">
      <alignment horizontal="distributed" vertical="center" justifyLastLine="1"/>
    </xf>
    <xf numFmtId="38" fontId="2" fillId="3" borderId="1" xfId="1" applyFont="1" applyFill="1" applyBorder="1" applyAlignment="1">
      <alignment horizontal="left" vertical="center" justifyLastLine="1"/>
    </xf>
    <xf numFmtId="38" fontId="2" fillId="3" borderId="2" xfId="1" applyFont="1" applyFill="1" applyBorder="1" applyAlignment="1">
      <alignment horizontal="left" vertical="center" justifyLastLine="1"/>
    </xf>
    <xf numFmtId="38" fontId="2" fillId="3" borderId="3" xfId="1" applyFont="1" applyFill="1" applyBorder="1" applyAlignment="1">
      <alignment horizontal="left" vertical="center" justifyLastLine="1"/>
    </xf>
    <xf numFmtId="38" fontId="2" fillId="3" borderId="11" xfId="1" applyFont="1" applyFill="1" applyBorder="1" applyAlignment="1">
      <alignment horizontal="distributed" vertical="center" justifyLastLine="1"/>
    </xf>
    <xf numFmtId="176" fontId="2" fillId="3" borderId="12" xfId="1" applyNumberFormat="1" applyFont="1" applyFill="1" applyBorder="1" applyAlignment="1">
      <alignment vertical="center" justifyLastLine="1"/>
    </xf>
    <xf numFmtId="176" fontId="2" fillId="3" borderId="13" xfId="1" applyNumberFormat="1" applyFont="1" applyFill="1" applyBorder="1" applyAlignment="1">
      <alignment vertical="center" justifyLastLine="1"/>
    </xf>
    <xf numFmtId="176" fontId="2" fillId="3" borderId="14" xfId="1" applyNumberFormat="1" applyFont="1" applyFill="1" applyBorder="1" applyAlignment="1">
      <alignment vertical="center" justifyLastLine="1"/>
    </xf>
    <xf numFmtId="38" fontId="2" fillId="3" borderId="15" xfId="1" applyFont="1" applyFill="1" applyBorder="1" applyAlignment="1">
      <alignment horizontal="distributed" vertical="center" justifyLastLine="1"/>
    </xf>
    <xf numFmtId="38" fontId="2" fillId="3" borderId="16" xfId="1" applyFont="1" applyFill="1" applyBorder="1" applyAlignment="1">
      <alignment horizontal="distributed" vertical="center" justifyLastLine="1"/>
    </xf>
    <xf numFmtId="178" fontId="2" fillId="3" borderId="12" xfId="1" applyNumberFormat="1" applyFont="1" applyFill="1" applyBorder="1" applyAlignment="1">
      <alignment horizontal="distributed" vertical="center" justifyLastLine="1"/>
    </xf>
    <xf numFmtId="178" fontId="2" fillId="3" borderId="17" xfId="1" applyNumberFormat="1" applyFont="1" applyFill="1" applyBorder="1" applyAlignment="1">
      <alignment horizontal="distributed" vertical="center" justifyLastLine="1"/>
    </xf>
    <xf numFmtId="0" fontId="2" fillId="0" borderId="10" xfId="0" applyFont="1" applyBorder="1" applyAlignment="1">
      <alignment horizontal="distributed" vertical="center" justifyLastLine="1"/>
    </xf>
    <xf numFmtId="0" fontId="2" fillId="0" borderId="9" xfId="0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38" fontId="2" fillId="2" borderId="1" xfId="0" applyNumberFormat="1" applyFont="1" applyFill="1" applyBorder="1" applyAlignment="1">
      <alignment vertical="center"/>
    </xf>
    <xf numFmtId="176" fontId="2" fillId="2" borderId="3" xfId="1" applyNumberFormat="1" applyFont="1" applyFill="1" applyBorder="1" applyAlignment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>
    <pageSetUpPr fitToPage="1"/>
  </sheetPr>
  <dimension ref="A2:BH87"/>
  <sheetViews>
    <sheetView tabSelected="1" workbookViewId="0">
      <selection activeCell="AP15" sqref="AP15:AT15"/>
    </sheetView>
  </sheetViews>
  <sheetFormatPr defaultColWidth="3.125" defaultRowHeight="16.5" customHeight="1"/>
  <cols>
    <col min="1" max="26" width="2.375" style="1" customWidth="1"/>
    <col min="27" max="27" width="4.25" style="1" customWidth="1"/>
    <col min="28" max="34" width="3.125" style="1"/>
    <col min="35" max="35" width="3.75" style="1" bestFit="1" customWidth="1"/>
    <col min="36" max="16384" width="3.125" style="1"/>
  </cols>
  <sheetData>
    <row r="2" spans="2:57" ht="16.5" customHeight="1">
      <c r="B2" s="81" t="s">
        <v>0</v>
      </c>
      <c r="C2" s="82"/>
      <c r="D2" s="83"/>
      <c r="E2" s="73">
        <f>AH2</f>
        <v>0</v>
      </c>
      <c r="F2" s="73"/>
      <c r="G2" s="73"/>
      <c r="H2" s="73"/>
      <c r="I2" s="73"/>
      <c r="J2" s="73"/>
      <c r="K2" s="73"/>
      <c r="L2" s="73"/>
      <c r="M2" s="73"/>
      <c r="N2" s="73"/>
      <c r="O2" s="73"/>
      <c r="P2" s="73" t="s">
        <v>1</v>
      </c>
      <c r="Q2" s="73"/>
      <c r="R2" s="73"/>
      <c r="S2" s="110"/>
      <c r="T2" s="110"/>
      <c r="U2" s="110"/>
      <c r="V2" s="110"/>
      <c r="W2" s="110"/>
      <c r="X2" s="110"/>
      <c r="Y2" s="110"/>
      <c r="Z2" s="110"/>
      <c r="AB2" s="231" t="s">
        <v>2</v>
      </c>
      <c r="AC2" s="231"/>
      <c r="AD2" s="231"/>
      <c r="AE2" s="231"/>
      <c r="AF2" s="81" t="s">
        <v>3</v>
      </c>
      <c r="AG2" s="83"/>
      <c r="AH2" s="107"/>
      <c r="AI2" s="108"/>
      <c r="AJ2" s="108"/>
      <c r="AK2" s="108"/>
      <c r="AL2" s="108"/>
      <c r="AM2" s="109"/>
      <c r="AN2" s="81" t="s">
        <v>4</v>
      </c>
      <c r="AO2" s="82"/>
      <c r="AP2" s="82"/>
      <c r="AQ2" s="83"/>
      <c r="AR2" s="211"/>
      <c r="AS2" s="260"/>
      <c r="AT2" s="2" t="s">
        <v>5</v>
      </c>
      <c r="AU2" s="81" t="s">
        <v>6</v>
      </c>
      <c r="AV2" s="82"/>
      <c r="AW2" s="82"/>
      <c r="AX2" s="82"/>
      <c r="AY2" s="83"/>
      <c r="AZ2" s="261"/>
      <c r="BA2" s="260"/>
      <c r="BB2" s="2" t="s">
        <v>5</v>
      </c>
    </row>
    <row r="3" spans="2:57" ht="16.5" customHeight="1">
      <c r="B3" s="73" t="s">
        <v>7</v>
      </c>
      <c r="C3" s="73"/>
      <c r="D3" s="73"/>
      <c r="E3" s="81" t="s">
        <v>8</v>
      </c>
      <c r="F3" s="82"/>
      <c r="G3" s="82"/>
      <c r="H3" s="83"/>
      <c r="I3" s="73" t="s">
        <v>9</v>
      </c>
      <c r="J3" s="73"/>
      <c r="K3" s="73"/>
      <c r="L3" s="235"/>
      <c r="M3" s="236"/>
      <c r="N3" s="236"/>
      <c r="O3" s="262"/>
      <c r="P3" s="73" t="s">
        <v>10</v>
      </c>
      <c r="Q3" s="73"/>
      <c r="R3" s="73"/>
      <c r="S3" s="107"/>
      <c r="T3" s="108"/>
      <c r="U3" s="108"/>
      <c r="V3" s="108"/>
      <c r="W3" s="108"/>
      <c r="X3" s="108"/>
      <c r="Y3" s="108"/>
      <c r="Z3" s="109"/>
      <c r="AB3" s="73" t="s">
        <v>11</v>
      </c>
      <c r="AC3" s="73"/>
      <c r="AD3" s="73"/>
      <c r="AE3" s="73"/>
      <c r="AF3" s="73"/>
      <c r="AG3" s="73"/>
      <c r="AH3" s="73"/>
      <c r="AI3" s="114" t="s">
        <v>12</v>
      </c>
      <c r="AJ3" s="115"/>
      <c r="AK3" s="115"/>
      <c r="AL3" s="116"/>
      <c r="AM3" s="73" t="s">
        <v>13</v>
      </c>
      <c r="AN3" s="73"/>
      <c r="AO3" s="73"/>
      <c r="AP3" s="83" t="s">
        <v>14</v>
      </c>
      <c r="AQ3" s="73"/>
      <c r="AR3" s="73"/>
      <c r="AS3" s="73"/>
      <c r="AT3" s="73"/>
      <c r="AU3" s="73" t="s">
        <v>15</v>
      </c>
      <c r="AV3" s="73"/>
      <c r="AW3" s="73"/>
      <c r="AX3" s="73"/>
      <c r="AY3" s="73"/>
      <c r="AZ3" s="73" t="s">
        <v>16</v>
      </c>
      <c r="BA3" s="73"/>
      <c r="BB3" s="73"/>
    </row>
    <row r="4" spans="2:57" ht="16.5" customHeight="1">
      <c r="E4" s="3"/>
      <c r="F4" s="3"/>
      <c r="G4" s="3"/>
      <c r="K4" s="3"/>
      <c r="L4" s="3"/>
      <c r="M4" s="3"/>
      <c r="AB4" s="110"/>
      <c r="AC4" s="110"/>
      <c r="AD4" s="110"/>
      <c r="AE4" s="110"/>
      <c r="AF4" s="110"/>
      <c r="AG4" s="110"/>
      <c r="AH4" s="110"/>
      <c r="AI4" s="235"/>
      <c r="AJ4" s="236"/>
      <c r="AK4" s="236"/>
      <c r="AL4" s="4" t="s">
        <v>17</v>
      </c>
      <c r="AM4" s="79"/>
      <c r="AN4" s="79"/>
      <c r="AO4" s="79"/>
      <c r="AP4" s="121" t="str">
        <f t="shared" ref="AP4:AP15" si="0">IF(AI4="","",AM4*AI4)</f>
        <v/>
      </c>
      <c r="AQ4" s="75"/>
      <c r="AR4" s="75"/>
      <c r="AS4" s="75"/>
      <c r="AT4" s="75"/>
      <c r="AU4" s="173" t="str">
        <f t="shared" ref="AU4:AU15" si="1">IF(AP4="","",AP4/$AR$2)</f>
        <v/>
      </c>
      <c r="AV4" s="173"/>
      <c r="AW4" s="173"/>
      <c r="AX4" s="173"/>
      <c r="AY4" s="173"/>
      <c r="AZ4" s="178" t="str">
        <f t="shared" ref="AZ4:AZ15" si="2">IF(AU4="","",AU4/$AU$16)</f>
        <v/>
      </c>
      <c r="BA4" s="178"/>
      <c r="BB4" s="178"/>
    </row>
    <row r="5" spans="2:57" ht="16.5" customHeight="1">
      <c r="B5" s="175" t="s">
        <v>18</v>
      </c>
      <c r="C5" s="175"/>
      <c r="D5" s="175"/>
      <c r="E5" s="5"/>
      <c r="F5" s="5"/>
      <c r="Q5" s="114" t="s">
        <v>19</v>
      </c>
      <c r="R5" s="116"/>
      <c r="S5" s="6">
        <v>1</v>
      </c>
      <c r="T5" s="7" t="s">
        <v>20</v>
      </c>
      <c r="U5" s="257" t="s">
        <v>21</v>
      </c>
      <c r="V5" s="257"/>
      <c r="W5" s="114"/>
      <c r="X5" s="258">
        <f>AR2</f>
        <v>0</v>
      </c>
      <c r="Y5" s="259"/>
      <c r="Z5" s="7" t="s">
        <v>20</v>
      </c>
      <c r="AA5" s="3"/>
      <c r="AB5" s="110"/>
      <c r="AC5" s="110"/>
      <c r="AD5" s="110"/>
      <c r="AE5" s="110"/>
      <c r="AF5" s="110"/>
      <c r="AG5" s="110"/>
      <c r="AH5" s="110"/>
      <c r="AI5" s="235"/>
      <c r="AJ5" s="236"/>
      <c r="AK5" s="236"/>
      <c r="AL5" s="4" t="s">
        <v>22</v>
      </c>
      <c r="AM5" s="79"/>
      <c r="AN5" s="79"/>
      <c r="AO5" s="79"/>
      <c r="AP5" s="121" t="str">
        <f t="shared" si="0"/>
        <v/>
      </c>
      <c r="AQ5" s="75"/>
      <c r="AR5" s="75"/>
      <c r="AS5" s="75"/>
      <c r="AT5" s="75"/>
      <c r="AU5" s="173" t="str">
        <f t="shared" si="1"/>
        <v/>
      </c>
      <c r="AV5" s="173"/>
      <c r="AW5" s="173"/>
      <c r="AX5" s="173"/>
      <c r="AY5" s="173"/>
      <c r="AZ5" s="178" t="str">
        <f t="shared" si="2"/>
        <v/>
      </c>
      <c r="BA5" s="178"/>
      <c r="BB5" s="178"/>
    </row>
    <row r="6" spans="2:57" s="9" customFormat="1" ht="16.5" customHeight="1" thickBot="1">
      <c r="B6" s="256" t="s">
        <v>23</v>
      </c>
      <c r="C6" s="256"/>
      <c r="D6" s="256"/>
      <c r="E6" s="256"/>
      <c r="F6" s="256"/>
      <c r="G6" s="256" t="s">
        <v>24</v>
      </c>
      <c r="H6" s="256"/>
      <c r="I6" s="256"/>
      <c r="J6" s="256"/>
      <c r="K6" s="256"/>
      <c r="L6" s="256"/>
      <c r="M6" s="256"/>
      <c r="N6" s="256" t="s">
        <v>25</v>
      </c>
      <c r="O6" s="256"/>
      <c r="P6" s="256" t="s">
        <v>26</v>
      </c>
      <c r="Q6" s="256"/>
      <c r="R6" s="256"/>
      <c r="S6" s="256"/>
      <c r="T6" s="256"/>
      <c r="U6" s="256"/>
      <c r="V6" s="256"/>
      <c r="W6" s="256"/>
      <c r="X6" s="256"/>
      <c r="Y6" s="256"/>
      <c r="Z6" s="256"/>
      <c r="AA6" s="8"/>
      <c r="AB6" s="110"/>
      <c r="AC6" s="110"/>
      <c r="AD6" s="110"/>
      <c r="AE6" s="110"/>
      <c r="AF6" s="110"/>
      <c r="AG6" s="110"/>
      <c r="AH6" s="110"/>
      <c r="AI6" s="235"/>
      <c r="AJ6" s="236"/>
      <c r="AK6" s="236"/>
      <c r="AL6" s="4" t="s">
        <v>17</v>
      </c>
      <c r="AM6" s="79"/>
      <c r="AN6" s="79"/>
      <c r="AO6" s="79"/>
      <c r="AP6" s="121" t="str">
        <f t="shared" si="0"/>
        <v/>
      </c>
      <c r="AQ6" s="75"/>
      <c r="AR6" s="75"/>
      <c r="AS6" s="75"/>
      <c r="AT6" s="75"/>
      <c r="AU6" s="173" t="str">
        <f t="shared" si="1"/>
        <v/>
      </c>
      <c r="AV6" s="173"/>
      <c r="AW6" s="173"/>
      <c r="AX6" s="173"/>
      <c r="AY6" s="173"/>
      <c r="AZ6" s="178" t="str">
        <f t="shared" si="2"/>
        <v/>
      </c>
      <c r="BA6" s="178"/>
      <c r="BB6" s="178"/>
      <c r="BC6" s="8"/>
      <c r="BD6" s="8"/>
      <c r="BE6" s="8"/>
    </row>
    <row r="7" spans="2:57" ht="16.5" customHeight="1" thickTop="1">
      <c r="B7" s="248" t="s">
        <v>27</v>
      </c>
      <c r="C7" s="248"/>
      <c r="D7" s="248"/>
      <c r="E7" s="248"/>
      <c r="F7" s="248"/>
      <c r="G7" s="249">
        <f>AU16*(100+R7)%</f>
        <v>0</v>
      </c>
      <c r="H7" s="250"/>
      <c r="I7" s="250"/>
      <c r="J7" s="250"/>
      <c r="K7" s="251"/>
      <c r="L7" s="252"/>
      <c r="M7" s="253"/>
      <c r="N7" s="254">
        <f t="shared" ref="N7:N21" si="3">IF(G7=0,0,G7/$G$23)</f>
        <v>0</v>
      </c>
      <c r="O7" s="255"/>
      <c r="P7" s="10" t="s">
        <v>28</v>
      </c>
      <c r="Q7" s="11"/>
      <c r="R7" s="12"/>
      <c r="S7" s="11" t="s">
        <v>29</v>
      </c>
      <c r="T7" s="11"/>
      <c r="U7" s="11"/>
      <c r="V7" s="11"/>
      <c r="W7" s="11"/>
      <c r="X7" s="11"/>
      <c r="Y7" s="11"/>
      <c r="Z7" s="13"/>
      <c r="AB7" s="110"/>
      <c r="AC7" s="110"/>
      <c r="AD7" s="110"/>
      <c r="AE7" s="110"/>
      <c r="AF7" s="110"/>
      <c r="AG7" s="110"/>
      <c r="AH7" s="110"/>
      <c r="AI7" s="235"/>
      <c r="AJ7" s="236"/>
      <c r="AK7" s="236"/>
      <c r="AL7" s="4" t="s">
        <v>22</v>
      </c>
      <c r="AM7" s="79"/>
      <c r="AN7" s="79"/>
      <c r="AO7" s="79"/>
      <c r="AP7" s="121" t="str">
        <f t="shared" si="0"/>
        <v/>
      </c>
      <c r="AQ7" s="75"/>
      <c r="AR7" s="75"/>
      <c r="AS7" s="75"/>
      <c r="AT7" s="75"/>
      <c r="AU7" s="173" t="str">
        <f t="shared" si="1"/>
        <v/>
      </c>
      <c r="AV7" s="173"/>
      <c r="AW7" s="173"/>
      <c r="AX7" s="173"/>
      <c r="AY7" s="173"/>
      <c r="AZ7" s="178" t="str">
        <f t="shared" si="2"/>
        <v/>
      </c>
      <c r="BA7" s="178"/>
      <c r="BB7" s="178"/>
    </row>
    <row r="8" spans="2:57" ht="16.5" customHeight="1">
      <c r="B8" s="237" t="s">
        <v>30</v>
      </c>
      <c r="C8" s="237"/>
      <c r="D8" s="237"/>
      <c r="E8" s="237"/>
      <c r="F8" s="237"/>
      <c r="G8" s="238">
        <f>AU23</f>
        <v>0</v>
      </c>
      <c r="H8" s="239"/>
      <c r="I8" s="239"/>
      <c r="J8" s="239"/>
      <c r="K8" s="240"/>
      <c r="L8" s="241"/>
      <c r="M8" s="242"/>
      <c r="N8" s="243">
        <f t="shared" si="3"/>
        <v>0</v>
      </c>
      <c r="O8" s="244"/>
      <c r="P8" s="245"/>
      <c r="Q8" s="246"/>
      <c r="R8" s="246"/>
      <c r="S8" s="246"/>
      <c r="T8" s="246"/>
      <c r="U8" s="246"/>
      <c r="V8" s="246"/>
      <c r="W8" s="246"/>
      <c r="X8" s="246"/>
      <c r="Y8" s="246"/>
      <c r="Z8" s="247"/>
      <c r="AB8" s="110"/>
      <c r="AC8" s="110"/>
      <c r="AD8" s="110"/>
      <c r="AE8" s="110"/>
      <c r="AF8" s="110"/>
      <c r="AG8" s="110"/>
      <c r="AH8" s="110"/>
      <c r="AI8" s="235"/>
      <c r="AJ8" s="236"/>
      <c r="AK8" s="236"/>
      <c r="AL8" s="4" t="s">
        <v>31</v>
      </c>
      <c r="AM8" s="79"/>
      <c r="AN8" s="79"/>
      <c r="AO8" s="79"/>
      <c r="AP8" s="121" t="str">
        <f t="shared" si="0"/>
        <v/>
      </c>
      <c r="AQ8" s="75"/>
      <c r="AR8" s="75"/>
      <c r="AS8" s="75"/>
      <c r="AT8" s="75"/>
      <c r="AU8" s="173" t="str">
        <f t="shared" si="1"/>
        <v/>
      </c>
      <c r="AV8" s="173"/>
      <c r="AW8" s="173"/>
      <c r="AX8" s="173"/>
      <c r="AY8" s="173"/>
      <c r="AZ8" s="178" t="str">
        <f t="shared" si="2"/>
        <v/>
      </c>
      <c r="BA8" s="178"/>
      <c r="BB8" s="178"/>
    </row>
    <row r="9" spans="2:57" ht="16.5" customHeight="1">
      <c r="B9" s="237" t="s">
        <v>32</v>
      </c>
      <c r="C9" s="237"/>
      <c r="D9" s="237"/>
      <c r="E9" s="237"/>
      <c r="F9" s="237"/>
      <c r="G9" s="238">
        <f>SUM(G10:K11)</f>
        <v>0</v>
      </c>
      <c r="H9" s="239"/>
      <c r="I9" s="239"/>
      <c r="J9" s="239"/>
      <c r="K9" s="240"/>
      <c r="L9" s="241"/>
      <c r="M9" s="242"/>
      <c r="N9" s="243">
        <f t="shared" si="3"/>
        <v>0</v>
      </c>
      <c r="O9" s="244"/>
      <c r="P9" s="245"/>
      <c r="Q9" s="246"/>
      <c r="R9" s="246"/>
      <c r="S9" s="246"/>
      <c r="T9" s="246"/>
      <c r="U9" s="246"/>
      <c r="V9" s="246"/>
      <c r="W9" s="246"/>
      <c r="X9" s="246"/>
      <c r="Y9" s="246"/>
      <c r="Z9" s="247"/>
      <c r="AB9" s="110"/>
      <c r="AC9" s="110"/>
      <c r="AD9" s="110"/>
      <c r="AE9" s="110"/>
      <c r="AF9" s="110"/>
      <c r="AG9" s="110"/>
      <c r="AH9" s="110"/>
      <c r="AI9" s="235"/>
      <c r="AJ9" s="236"/>
      <c r="AK9" s="236"/>
      <c r="AL9" s="4" t="s">
        <v>22</v>
      </c>
      <c r="AM9" s="79"/>
      <c r="AN9" s="79"/>
      <c r="AO9" s="79"/>
      <c r="AP9" s="121" t="str">
        <f t="shared" si="0"/>
        <v/>
      </c>
      <c r="AQ9" s="75"/>
      <c r="AR9" s="75"/>
      <c r="AS9" s="75"/>
      <c r="AT9" s="75"/>
      <c r="AU9" s="173" t="str">
        <f t="shared" si="1"/>
        <v/>
      </c>
      <c r="AV9" s="173"/>
      <c r="AW9" s="173"/>
      <c r="AX9" s="173"/>
      <c r="AY9" s="173"/>
      <c r="AZ9" s="178" t="str">
        <f t="shared" si="2"/>
        <v/>
      </c>
      <c r="BA9" s="178"/>
      <c r="BB9" s="178"/>
    </row>
    <row r="10" spans="2:57" ht="16.5" customHeight="1">
      <c r="B10" s="220" t="s">
        <v>33</v>
      </c>
      <c r="C10" s="220"/>
      <c r="D10" s="220"/>
      <c r="E10" s="220"/>
      <c r="F10" s="220"/>
      <c r="G10" s="221">
        <f>AY31-AY29</f>
        <v>0</v>
      </c>
      <c r="H10" s="222"/>
      <c r="I10" s="222"/>
      <c r="J10" s="222"/>
      <c r="K10" s="223"/>
      <c r="L10" s="224"/>
      <c r="M10" s="225"/>
      <c r="N10" s="215">
        <f t="shared" si="3"/>
        <v>0</v>
      </c>
      <c r="O10" s="216"/>
      <c r="P10" s="220"/>
      <c r="Q10" s="220"/>
      <c r="R10" s="220"/>
      <c r="S10" s="220"/>
      <c r="T10" s="220"/>
      <c r="U10" s="220"/>
      <c r="V10" s="220"/>
      <c r="W10" s="220"/>
      <c r="X10" s="220"/>
      <c r="Y10" s="220"/>
      <c r="Z10" s="220"/>
      <c r="AB10" s="110"/>
      <c r="AC10" s="110"/>
      <c r="AD10" s="110"/>
      <c r="AE10" s="110"/>
      <c r="AF10" s="110"/>
      <c r="AG10" s="110"/>
      <c r="AH10" s="110"/>
      <c r="AI10" s="235"/>
      <c r="AJ10" s="236"/>
      <c r="AK10" s="236"/>
      <c r="AL10" s="4" t="s">
        <v>17</v>
      </c>
      <c r="AM10" s="79"/>
      <c r="AN10" s="79"/>
      <c r="AO10" s="79"/>
      <c r="AP10" s="121" t="str">
        <f t="shared" si="0"/>
        <v/>
      </c>
      <c r="AQ10" s="75"/>
      <c r="AR10" s="75"/>
      <c r="AS10" s="75"/>
      <c r="AT10" s="75"/>
      <c r="AU10" s="173" t="str">
        <f t="shared" si="1"/>
        <v/>
      </c>
      <c r="AV10" s="173"/>
      <c r="AW10" s="173"/>
      <c r="AX10" s="173"/>
      <c r="AY10" s="173"/>
      <c r="AZ10" s="178" t="str">
        <f t="shared" si="2"/>
        <v/>
      </c>
      <c r="BA10" s="178"/>
      <c r="BB10" s="178"/>
    </row>
    <row r="11" spans="2:57" ht="16.5" customHeight="1">
      <c r="B11" s="220" t="s">
        <v>34</v>
      </c>
      <c r="C11" s="220"/>
      <c r="D11" s="220"/>
      <c r="E11" s="220"/>
      <c r="F11" s="220"/>
      <c r="G11" s="221">
        <f>AY29</f>
        <v>0</v>
      </c>
      <c r="H11" s="222"/>
      <c r="I11" s="222"/>
      <c r="J11" s="222"/>
      <c r="K11" s="223"/>
      <c r="L11" s="224"/>
      <c r="M11" s="225"/>
      <c r="N11" s="215">
        <f t="shared" si="3"/>
        <v>0</v>
      </c>
      <c r="O11" s="216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B11" s="110"/>
      <c r="AC11" s="110"/>
      <c r="AD11" s="110"/>
      <c r="AE11" s="110"/>
      <c r="AF11" s="110"/>
      <c r="AG11" s="110"/>
      <c r="AH11" s="110"/>
      <c r="AI11" s="235"/>
      <c r="AJ11" s="236"/>
      <c r="AK11" s="236"/>
      <c r="AL11" s="4" t="s">
        <v>31</v>
      </c>
      <c r="AM11" s="79"/>
      <c r="AN11" s="79"/>
      <c r="AO11" s="79"/>
      <c r="AP11" s="121" t="str">
        <f t="shared" si="0"/>
        <v/>
      </c>
      <c r="AQ11" s="75"/>
      <c r="AR11" s="75"/>
      <c r="AS11" s="75"/>
      <c r="AT11" s="75"/>
      <c r="AU11" s="173" t="str">
        <f t="shared" si="1"/>
        <v/>
      </c>
      <c r="AV11" s="173"/>
      <c r="AW11" s="173"/>
      <c r="AX11" s="173"/>
      <c r="AY11" s="173"/>
      <c r="AZ11" s="178" t="str">
        <f t="shared" si="2"/>
        <v/>
      </c>
      <c r="BA11" s="178"/>
      <c r="BB11" s="178"/>
    </row>
    <row r="12" spans="2:57" ht="16.5" customHeight="1">
      <c r="B12" s="237" t="s">
        <v>35</v>
      </c>
      <c r="C12" s="237"/>
      <c r="D12" s="237"/>
      <c r="E12" s="237"/>
      <c r="F12" s="237"/>
      <c r="G12" s="238">
        <f>SUM(G13:K17)</f>
        <v>0</v>
      </c>
      <c r="H12" s="239"/>
      <c r="I12" s="239"/>
      <c r="J12" s="239"/>
      <c r="K12" s="240"/>
      <c r="L12" s="241"/>
      <c r="M12" s="242"/>
      <c r="N12" s="243">
        <f t="shared" si="3"/>
        <v>0</v>
      </c>
      <c r="O12" s="244"/>
      <c r="P12" s="245"/>
      <c r="Q12" s="246"/>
      <c r="R12" s="246"/>
      <c r="S12" s="246"/>
      <c r="T12" s="246"/>
      <c r="U12" s="246"/>
      <c r="V12" s="246"/>
      <c r="W12" s="246"/>
      <c r="X12" s="246"/>
      <c r="Y12" s="246"/>
      <c r="Z12" s="247"/>
      <c r="AB12" s="110"/>
      <c r="AC12" s="110"/>
      <c r="AD12" s="110"/>
      <c r="AE12" s="110"/>
      <c r="AF12" s="110"/>
      <c r="AG12" s="110"/>
      <c r="AH12" s="110"/>
      <c r="AI12" s="235"/>
      <c r="AJ12" s="236"/>
      <c r="AK12" s="236"/>
      <c r="AL12" s="4" t="s">
        <v>17</v>
      </c>
      <c r="AM12" s="79"/>
      <c r="AN12" s="79"/>
      <c r="AO12" s="79"/>
      <c r="AP12" s="121" t="str">
        <f t="shared" si="0"/>
        <v/>
      </c>
      <c r="AQ12" s="75"/>
      <c r="AR12" s="75"/>
      <c r="AS12" s="75"/>
      <c r="AT12" s="75"/>
      <c r="AU12" s="173" t="str">
        <f t="shared" si="1"/>
        <v/>
      </c>
      <c r="AV12" s="173"/>
      <c r="AW12" s="173"/>
      <c r="AX12" s="173"/>
      <c r="AY12" s="173"/>
      <c r="AZ12" s="178" t="str">
        <f t="shared" si="2"/>
        <v/>
      </c>
      <c r="BA12" s="178"/>
      <c r="BB12" s="178"/>
    </row>
    <row r="13" spans="2:57" ht="16.5" customHeight="1">
      <c r="B13" s="170" t="s">
        <v>36</v>
      </c>
      <c r="C13" s="170"/>
      <c r="D13" s="170"/>
      <c r="E13" s="170"/>
      <c r="F13" s="170"/>
      <c r="G13" s="212">
        <f>AX40</f>
        <v>0</v>
      </c>
      <c r="H13" s="213"/>
      <c r="I13" s="213"/>
      <c r="J13" s="213"/>
      <c r="K13" s="214"/>
      <c r="L13" s="167"/>
      <c r="M13" s="168"/>
      <c r="N13" s="215">
        <f t="shared" si="3"/>
        <v>0</v>
      </c>
      <c r="O13" s="216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B13" s="110"/>
      <c r="AC13" s="110"/>
      <c r="AD13" s="110"/>
      <c r="AE13" s="110"/>
      <c r="AF13" s="110"/>
      <c r="AG13" s="110"/>
      <c r="AH13" s="110"/>
      <c r="AI13" s="235"/>
      <c r="AJ13" s="236"/>
      <c r="AK13" s="236"/>
      <c r="AL13" s="4" t="s">
        <v>20</v>
      </c>
      <c r="AM13" s="79"/>
      <c r="AN13" s="79"/>
      <c r="AO13" s="79"/>
      <c r="AP13" s="121" t="str">
        <f t="shared" si="0"/>
        <v/>
      </c>
      <c r="AQ13" s="75"/>
      <c r="AR13" s="75"/>
      <c r="AS13" s="75"/>
      <c r="AT13" s="75"/>
      <c r="AU13" s="173" t="str">
        <f t="shared" si="1"/>
        <v/>
      </c>
      <c r="AV13" s="173"/>
      <c r="AW13" s="173"/>
      <c r="AX13" s="173"/>
      <c r="AY13" s="173"/>
      <c r="AZ13" s="178" t="str">
        <f t="shared" si="2"/>
        <v/>
      </c>
      <c r="BA13" s="178"/>
      <c r="BB13" s="178"/>
    </row>
    <row r="14" spans="2:57" ht="16.5" customHeight="1">
      <c r="B14" s="220" t="s">
        <v>37</v>
      </c>
      <c r="C14" s="220"/>
      <c r="D14" s="220"/>
      <c r="E14" s="220"/>
      <c r="F14" s="220"/>
      <c r="G14" s="221">
        <f>AX52</f>
        <v>0</v>
      </c>
      <c r="H14" s="222"/>
      <c r="I14" s="222"/>
      <c r="J14" s="222"/>
      <c r="K14" s="223"/>
      <c r="L14" s="224"/>
      <c r="M14" s="225"/>
      <c r="N14" s="215">
        <f t="shared" si="3"/>
        <v>0</v>
      </c>
      <c r="O14" s="216"/>
      <c r="P14" s="220"/>
      <c r="Q14" s="220"/>
      <c r="R14" s="220"/>
      <c r="S14" s="220"/>
      <c r="T14" s="220"/>
      <c r="U14" s="220"/>
      <c r="V14" s="220"/>
      <c r="W14" s="220"/>
      <c r="X14" s="220"/>
      <c r="Y14" s="220"/>
      <c r="Z14" s="220"/>
      <c r="AB14" s="110"/>
      <c r="AC14" s="110"/>
      <c r="AD14" s="110"/>
      <c r="AE14" s="110"/>
      <c r="AF14" s="110"/>
      <c r="AG14" s="110"/>
      <c r="AH14" s="110"/>
      <c r="AI14" s="235"/>
      <c r="AJ14" s="236"/>
      <c r="AK14" s="236"/>
      <c r="AL14" s="4" t="s">
        <v>17</v>
      </c>
      <c r="AM14" s="79"/>
      <c r="AN14" s="79"/>
      <c r="AO14" s="79"/>
      <c r="AP14" s="121" t="str">
        <f t="shared" si="0"/>
        <v/>
      </c>
      <c r="AQ14" s="75"/>
      <c r="AR14" s="75"/>
      <c r="AS14" s="75"/>
      <c r="AT14" s="75"/>
      <c r="AU14" s="173" t="str">
        <f t="shared" si="1"/>
        <v/>
      </c>
      <c r="AV14" s="173"/>
      <c r="AW14" s="173"/>
      <c r="AX14" s="173"/>
      <c r="AY14" s="173"/>
      <c r="AZ14" s="178" t="str">
        <f t="shared" si="2"/>
        <v/>
      </c>
      <c r="BA14" s="178"/>
      <c r="BB14" s="178"/>
    </row>
    <row r="15" spans="2:57" ht="16.5" customHeight="1">
      <c r="B15" s="220" t="s">
        <v>38</v>
      </c>
      <c r="C15" s="220"/>
      <c r="D15" s="220"/>
      <c r="E15" s="220"/>
      <c r="F15" s="220"/>
      <c r="G15" s="221">
        <f>AX66</f>
        <v>0</v>
      </c>
      <c r="H15" s="222"/>
      <c r="I15" s="222"/>
      <c r="J15" s="222"/>
      <c r="K15" s="223"/>
      <c r="L15" s="224"/>
      <c r="M15" s="225"/>
      <c r="N15" s="215">
        <f t="shared" si="3"/>
        <v>0</v>
      </c>
      <c r="O15" s="216"/>
      <c r="P15" s="220"/>
      <c r="Q15" s="220"/>
      <c r="R15" s="220"/>
      <c r="S15" s="220"/>
      <c r="T15" s="220"/>
      <c r="U15" s="220"/>
      <c r="V15" s="220"/>
      <c r="W15" s="220"/>
      <c r="X15" s="220"/>
      <c r="Y15" s="220"/>
      <c r="Z15" s="220"/>
      <c r="AB15" s="110"/>
      <c r="AC15" s="110"/>
      <c r="AD15" s="110"/>
      <c r="AE15" s="110"/>
      <c r="AF15" s="110"/>
      <c r="AG15" s="110"/>
      <c r="AH15" s="110"/>
      <c r="AI15" s="235"/>
      <c r="AJ15" s="236"/>
      <c r="AK15" s="236"/>
      <c r="AL15" s="4" t="s">
        <v>22</v>
      </c>
      <c r="AM15" s="79"/>
      <c r="AN15" s="79"/>
      <c r="AO15" s="79"/>
      <c r="AP15" s="121" t="str">
        <f t="shared" si="0"/>
        <v/>
      </c>
      <c r="AQ15" s="75"/>
      <c r="AR15" s="75"/>
      <c r="AS15" s="75"/>
      <c r="AT15" s="75"/>
      <c r="AU15" s="173" t="str">
        <f t="shared" si="1"/>
        <v/>
      </c>
      <c r="AV15" s="173"/>
      <c r="AW15" s="173"/>
      <c r="AX15" s="173"/>
      <c r="AY15" s="173"/>
      <c r="AZ15" s="178" t="str">
        <f t="shared" si="2"/>
        <v/>
      </c>
      <c r="BA15" s="178"/>
      <c r="BB15" s="178"/>
    </row>
    <row r="16" spans="2:57" ht="16.5" customHeight="1">
      <c r="B16" s="220" t="s">
        <v>39</v>
      </c>
      <c r="C16" s="220"/>
      <c r="D16" s="220"/>
      <c r="E16" s="220"/>
      <c r="F16" s="220"/>
      <c r="G16" s="221">
        <f>AS72</f>
        <v>0</v>
      </c>
      <c r="H16" s="222"/>
      <c r="I16" s="222"/>
      <c r="J16" s="222"/>
      <c r="K16" s="223"/>
      <c r="L16" s="224"/>
      <c r="M16" s="225"/>
      <c r="N16" s="215">
        <f t="shared" si="3"/>
        <v>0</v>
      </c>
      <c r="O16" s="216"/>
      <c r="P16" s="220"/>
      <c r="Q16" s="220"/>
      <c r="R16" s="220"/>
      <c r="S16" s="220"/>
      <c r="T16" s="220"/>
      <c r="U16" s="220"/>
      <c r="V16" s="220"/>
      <c r="W16" s="220"/>
      <c r="X16" s="220"/>
      <c r="Y16" s="220"/>
      <c r="Z16" s="220"/>
      <c r="AB16" s="73" t="s">
        <v>40</v>
      </c>
      <c r="AC16" s="73"/>
      <c r="AD16" s="73"/>
      <c r="AE16" s="73"/>
      <c r="AF16" s="73"/>
      <c r="AG16" s="73"/>
      <c r="AH16" s="73"/>
      <c r="AI16" s="125">
        <f>SUM(AI4:AI15)</f>
        <v>0</v>
      </c>
      <c r="AJ16" s="126"/>
      <c r="AK16" s="126"/>
      <c r="AL16" s="14" t="s">
        <v>22</v>
      </c>
      <c r="AM16" s="111"/>
      <c r="AN16" s="111"/>
      <c r="AO16" s="111"/>
      <c r="AP16" s="75">
        <f>SUM(AP4:AT15)</f>
        <v>0</v>
      </c>
      <c r="AQ16" s="75"/>
      <c r="AR16" s="75"/>
      <c r="AS16" s="75"/>
      <c r="AT16" s="75"/>
      <c r="AU16" s="173">
        <f>SUM(AU4:AY15)</f>
        <v>0</v>
      </c>
      <c r="AV16" s="173"/>
      <c r="AW16" s="173"/>
      <c r="AX16" s="173"/>
      <c r="AY16" s="173"/>
      <c r="AZ16" s="174">
        <v>1</v>
      </c>
      <c r="BA16" s="73"/>
      <c r="BB16" s="73"/>
    </row>
    <row r="17" spans="1:60" ht="16.5" customHeight="1">
      <c r="B17" s="220" t="s">
        <v>41</v>
      </c>
      <c r="C17" s="220"/>
      <c r="D17" s="220"/>
      <c r="E17" s="220"/>
      <c r="F17" s="220"/>
      <c r="G17" s="221">
        <f>AS79</f>
        <v>0</v>
      </c>
      <c r="H17" s="222"/>
      <c r="I17" s="222"/>
      <c r="J17" s="222"/>
      <c r="K17" s="223"/>
      <c r="L17" s="224"/>
      <c r="M17" s="225"/>
      <c r="N17" s="215">
        <f t="shared" si="3"/>
        <v>0</v>
      </c>
      <c r="O17" s="216"/>
      <c r="P17" s="232"/>
      <c r="Q17" s="233"/>
      <c r="R17" s="233"/>
      <c r="S17" s="233"/>
      <c r="T17" s="233"/>
      <c r="U17" s="233"/>
      <c r="V17" s="233"/>
      <c r="W17" s="233"/>
      <c r="X17" s="233"/>
      <c r="Y17" s="233"/>
      <c r="Z17" s="234"/>
    </row>
    <row r="18" spans="1:60" ht="16.5" customHeight="1">
      <c r="B18" s="179" t="s">
        <v>42</v>
      </c>
      <c r="C18" s="179"/>
      <c r="D18" s="179"/>
      <c r="E18" s="179"/>
      <c r="F18" s="179"/>
      <c r="G18" s="226">
        <f>G7+G8+G12+G9</f>
        <v>0</v>
      </c>
      <c r="H18" s="227"/>
      <c r="I18" s="227"/>
      <c r="J18" s="227"/>
      <c r="K18" s="228"/>
      <c r="L18" s="183"/>
      <c r="M18" s="184"/>
      <c r="N18" s="229">
        <f t="shared" si="3"/>
        <v>0</v>
      </c>
      <c r="O18" s="230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 s="179"/>
      <c r="AB18" s="231" t="s">
        <v>30</v>
      </c>
      <c r="AC18" s="231"/>
      <c r="AD18" s="231"/>
      <c r="AE18" s="231"/>
    </row>
    <row r="19" spans="1:60" ht="16.5" customHeight="1">
      <c r="B19" s="220" t="s">
        <v>43</v>
      </c>
      <c r="C19" s="220"/>
      <c r="D19" s="220"/>
      <c r="E19" s="220"/>
      <c r="F19" s="220"/>
      <c r="G19" s="221">
        <f>AX86</f>
        <v>0</v>
      </c>
      <c r="H19" s="222"/>
      <c r="I19" s="222"/>
      <c r="J19" s="222"/>
      <c r="K19" s="223"/>
      <c r="L19" s="224"/>
      <c r="M19" s="225"/>
      <c r="N19" s="215">
        <f t="shared" si="3"/>
        <v>0</v>
      </c>
      <c r="O19" s="216"/>
      <c r="P19" s="220"/>
      <c r="Q19" s="220"/>
      <c r="R19" s="220"/>
      <c r="S19" s="220"/>
      <c r="T19" s="220"/>
      <c r="U19" s="220"/>
      <c r="V19" s="220"/>
      <c r="W19" s="220"/>
      <c r="X19" s="220"/>
      <c r="Y19" s="220"/>
      <c r="Z19" s="220"/>
      <c r="AB19" s="73" t="s">
        <v>44</v>
      </c>
      <c r="AC19" s="73"/>
      <c r="AD19" s="73"/>
      <c r="AE19" s="73"/>
      <c r="AF19" s="73"/>
      <c r="AG19" s="73"/>
      <c r="AH19" s="73"/>
      <c r="AI19" s="73" t="s">
        <v>45</v>
      </c>
      <c r="AJ19" s="73"/>
      <c r="AK19" s="73"/>
      <c r="AL19" s="114" t="s">
        <v>12</v>
      </c>
      <c r="AM19" s="115"/>
      <c r="AN19" s="115"/>
      <c r="AO19" s="116"/>
      <c r="AP19" s="73" t="s">
        <v>14</v>
      </c>
      <c r="AQ19" s="73"/>
      <c r="AR19" s="73"/>
      <c r="AS19" s="73"/>
      <c r="AT19" s="73"/>
      <c r="AU19" s="73" t="s">
        <v>15</v>
      </c>
      <c r="AV19" s="73"/>
      <c r="AW19" s="73"/>
      <c r="AX19" s="73"/>
      <c r="AY19" s="73"/>
      <c r="AZ19" s="73" t="s">
        <v>46</v>
      </c>
      <c r="BA19" s="73"/>
      <c r="BB19" s="73"/>
    </row>
    <row r="20" spans="1:60" ht="16.5" customHeight="1">
      <c r="B20" s="170" t="s">
        <v>47</v>
      </c>
      <c r="C20" s="170"/>
      <c r="D20" s="170"/>
      <c r="E20" s="170"/>
      <c r="F20" s="170"/>
      <c r="G20" s="212">
        <f>G18*1.1%</f>
        <v>0</v>
      </c>
      <c r="H20" s="213"/>
      <c r="I20" s="213"/>
      <c r="J20" s="213"/>
      <c r="K20" s="214"/>
      <c r="L20" s="167"/>
      <c r="M20" s="168"/>
      <c r="N20" s="215">
        <f t="shared" si="3"/>
        <v>0</v>
      </c>
      <c r="O20" s="216"/>
      <c r="P20" s="217" t="s">
        <v>48</v>
      </c>
      <c r="Q20" s="218"/>
      <c r="R20" s="218"/>
      <c r="S20" s="218"/>
      <c r="T20" s="218"/>
      <c r="U20" s="218"/>
      <c r="V20" s="218"/>
      <c r="W20" s="218"/>
      <c r="X20" s="218"/>
      <c r="Y20" s="218"/>
      <c r="Z20" s="219"/>
      <c r="AB20" s="110"/>
      <c r="AC20" s="110"/>
      <c r="AD20" s="110"/>
      <c r="AE20" s="110"/>
      <c r="AF20" s="110"/>
      <c r="AG20" s="110"/>
      <c r="AH20" s="110"/>
      <c r="AI20" s="210"/>
      <c r="AJ20" s="210"/>
      <c r="AK20" s="211"/>
      <c r="AL20" s="95"/>
      <c r="AM20" s="96"/>
      <c r="AN20" s="96"/>
      <c r="AO20" s="4" t="s">
        <v>17</v>
      </c>
      <c r="AP20" s="121" t="str">
        <f>IF(AL20="","",AI20*AL20)</f>
        <v/>
      </c>
      <c r="AQ20" s="75"/>
      <c r="AR20" s="75"/>
      <c r="AS20" s="75"/>
      <c r="AT20" s="75"/>
      <c r="AU20" s="173" t="str">
        <f>IF(AP20="","",AP20/$AR$2)</f>
        <v/>
      </c>
      <c r="AV20" s="173"/>
      <c r="AW20" s="173"/>
      <c r="AX20" s="173"/>
      <c r="AY20" s="173"/>
      <c r="AZ20" s="178" t="str">
        <f>IF(AU20="","",AU20/$AU$16)</f>
        <v/>
      </c>
      <c r="BA20" s="178"/>
      <c r="BB20" s="178"/>
    </row>
    <row r="21" spans="1:60" ht="16.5" customHeight="1">
      <c r="B21" s="186" t="s">
        <v>49</v>
      </c>
      <c r="C21" s="187"/>
      <c r="D21" s="187"/>
      <c r="E21" s="187"/>
      <c r="F21" s="188"/>
      <c r="G21" s="192">
        <f>G18*13.1%</f>
        <v>0</v>
      </c>
      <c r="H21" s="193"/>
      <c r="I21" s="193"/>
      <c r="J21" s="193"/>
      <c r="K21" s="194"/>
      <c r="L21" s="198"/>
      <c r="M21" s="188"/>
      <c r="N21" s="200">
        <f t="shared" si="3"/>
        <v>0</v>
      </c>
      <c r="O21" s="201"/>
      <c r="P21" s="204" t="s">
        <v>50</v>
      </c>
      <c r="Q21" s="205"/>
      <c r="R21" s="205"/>
      <c r="S21" s="205"/>
      <c r="T21" s="205"/>
      <c r="U21" s="205"/>
      <c r="V21" s="205"/>
      <c r="W21" s="205"/>
      <c r="X21" s="205"/>
      <c r="Y21" s="205"/>
      <c r="Z21" s="206"/>
      <c r="AB21" s="110"/>
      <c r="AC21" s="110"/>
      <c r="AD21" s="110"/>
      <c r="AE21" s="110"/>
      <c r="AF21" s="110"/>
      <c r="AG21" s="110"/>
      <c r="AH21" s="110"/>
      <c r="AI21" s="210"/>
      <c r="AJ21" s="210"/>
      <c r="AK21" s="211"/>
      <c r="AL21" s="95"/>
      <c r="AM21" s="96"/>
      <c r="AN21" s="96"/>
      <c r="AO21" s="4" t="s">
        <v>17</v>
      </c>
      <c r="AP21" s="121" t="str">
        <f>IF(AL21="","",AI21*AL21)</f>
        <v/>
      </c>
      <c r="AQ21" s="75"/>
      <c r="AR21" s="75"/>
      <c r="AS21" s="75"/>
      <c r="AT21" s="75"/>
      <c r="AU21" s="173" t="str">
        <f>IF(AP21="","",AP21/$AR$2)</f>
        <v/>
      </c>
      <c r="AV21" s="173"/>
      <c r="AW21" s="173"/>
      <c r="AX21" s="173"/>
      <c r="AY21" s="173"/>
      <c r="AZ21" s="178" t="str">
        <f>IF(AU21="","",AU21/$AU$16)</f>
        <v/>
      </c>
      <c r="BA21" s="178"/>
      <c r="BB21" s="178"/>
    </row>
    <row r="22" spans="1:60" ht="16.5" customHeight="1">
      <c r="B22" s="189"/>
      <c r="C22" s="190"/>
      <c r="D22" s="190"/>
      <c r="E22" s="190"/>
      <c r="F22" s="191"/>
      <c r="G22" s="195"/>
      <c r="H22" s="196"/>
      <c r="I22" s="196"/>
      <c r="J22" s="196"/>
      <c r="K22" s="197"/>
      <c r="L22" s="199"/>
      <c r="M22" s="191"/>
      <c r="N22" s="202"/>
      <c r="O22" s="203"/>
      <c r="P22" s="207"/>
      <c r="Q22" s="208"/>
      <c r="R22" s="208"/>
      <c r="S22" s="208"/>
      <c r="T22" s="208"/>
      <c r="U22" s="208"/>
      <c r="V22" s="208"/>
      <c r="W22" s="208"/>
      <c r="X22" s="208"/>
      <c r="Y22" s="208"/>
      <c r="Z22" s="209"/>
      <c r="AB22" s="110"/>
      <c r="AC22" s="110"/>
      <c r="AD22" s="110"/>
      <c r="AE22" s="110"/>
      <c r="AF22" s="110"/>
      <c r="AG22" s="110"/>
      <c r="AH22" s="110"/>
      <c r="AI22" s="210"/>
      <c r="AJ22" s="210"/>
      <c r="AK22" s="211"/>
      <c r="AL22" s="95"/>
      <c r="AM22" s="96"/>
      <c r="AN22" s="96"/>
      <c r="AO22" s="4" t="s">
        <v>17</v>
      </c>
      <c r="AP22" s="121" t="str">
        <f>IF(AL22="","",AI22*AL22)</f>
        <v/>
      </c>
      <c r="AQ22" s="75"/>
      <c r="AR22" s="75"/>
      <c r="AS22" s="75"/>
      <c r="AT22" s="75"/>
      <c r="AU22" s="173" t="str">
        <f>IF(AP22="","",AP22/$AR$2)</f>
        <v/>
      </c>
      <c r="AV22" s="173"/>
      <c r="AW22" s="173"/>
      <c r="AX22" s="173"/>
      <c r="AY22" s="173"/>
      <c r="AZ22" s="178" t="str">
        <f>IF(AU22="","",AU22/$AU$16)</f>
        <v/>
      </c>
      <c r="BA22" s="178"/>
      <c r="BB22" s="178"/>
    </row>
    <row r="23" spans="1:60" ht="16.5" customHeight="1">
      <c r="B23" s="179" t="s">
        <v>51</v>
      </c>
      <c r="C23" s="179"/>
      <c r="D23" s="179"/>
      <c r="E23" s="179"/>
      <c r="F23" s="179"/>
      <c r="G23" s="180">
        <f>SUM(G18:K22)</f>
        <v>0</v>
      </c>
      <c r="H23" s="181"/>
      <c r="I23" s="181"/>
      <c r="J23" s="181"/>
      <c r="K23" s="182"/>
      <c r="L23" s="183"/>
      <c r="M23" s="184"/>
      <c r="N23" s="185">
        <f>IF(G23=0,0,G23/$G$23)</f>
        <v>0</v>
      </c>
      <c r="O23" s="185"/>
      <c r="P23" s="179"/>
      <c r="Q23" s="179"/>
      <c r="R23" s="179"/>
      <c r="S23" s="179"/>
      <c r="T23" s="179"/>
      <c r="U23" s="179"/>
      <c r="V23" s="179"/>
      <c r="W23" s="179"/>
      <c r="X23" s="179"/>
      <c r="Y23" s="179"/>
      <c r="Z23" s="179"/>
      <c r="AB23" s="73" t="s">
        <v>40</v>
      </c>
      <c r="AC23" s="73"/>
      <c r="AD23" s="73"/>
      <c r="AE23" s="73"/>
      <c r="AF23" s="73"/>
      <c r="AG23" s="73"/>
      <c r="AH23" s="73"/>
      <c r="AI23" s="73"/>
      <c r="AJ23" s="73"/>
      <c r="AK23" s="73"/>
      <c r="AL23" s="86"/>
      <c r="AM23" s="87"/>
      <c r="AN23" s="87"/>
      <c r="AO23" s="14"/>
      <c r="AP23" s="75">
        <f>SUM(AP20:AT22)</f>
        <v>0</v>
      </c>
      <c r="AQ23" s="75"/>
      <c r="AR23" s="75"/>
      <c r="AS23" s="75"/>
      <c r="AT23" s="75"/>
      <c r="AU23" s="173">
        <f>SUM(AU20:AY22)</f>
        <v>0</v>
      </c>
      <c r="AV23" s="173"/>
      <c r="AW23" s="173"/>
      <c r="AX23" s="173"/>
      <c r="AY23" s="173"/>
      <c r="AZ23" s="174">
        <v>1</v>
      </c>
      <c r="BA23" s="73"/>
      <c r="BB23" s="73"/>
    </row>
    <row r="24" spans="1:60" ht="16.5" customHeight="1">
      <c r="B24" s="15"/>
      <c r="C24" s="15"/>
      <c r="D24" s="15"/>
      <c r="E24" s="15"/>
      <c r="F24" s="15"/>
      <c r="G24" s="16"/>
      <c r="H24" s="16"/>
      <c r="I24" s="16"/>
      <c r="J24" s="16"/>
      <c r="K24" s="16"/>
      <c r="L24" s="16"/>
      <c r="M24" s="16"/>
      <c r="N24" s="17"/>
      <c r="O24" s="17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9"/>
      <c r="AM24" s="19"/>
      <c r="AN24" s="19"/>
      <c r="AO24" s="19"/>
      <c r="AP24" s="19"/>
      <c r="AQ24" s="19"/>
      <c r="AR24" s="19"/>
      <c r="AS24" s="19"/>
      <c r="AT24" s="19"/>
      <c r="AU24" s="20"/>
      <c r="AV24" s="20"/>
      <c r="AW24" s="20"/>
      <c r="AX24" s="20"/>
      <c r="AY24" s="20"/>
      <c r="AZ24" s="21"/>
      <c r="BA24" s="18"/>
      <c r="BB24" s="18"/>
    </row>
    <row r="25" spans="1:60" ht="16.5" customHeight="1">
      <c r="B25" s="175" t="s">
        <v>52</v>
      </c>
      <c r="C25" s="175"/>
      <c r="D25" s="175"/>
      <c r="E25" s="175"/>
      <c r="F25" s="3"/>
      <c r="G25" s="176"/>
      <c r="H25" s="176"/>
      <c r="I25" s="176"/>
      <c r="J25" s="176"/>
      <c r="K25" s="176"/>
      <c r="L25" s="176"/>
      <c r="M25" s="176"/>
      <c r="N25" s="177"/>
      <c r="O25" s="177"/>
      <c r="P25" s="176"/>
      <c r="Q25" s="176"/>
      <c r="R25" s="176"/>
      <c r="S25" s="176"/>
      <c r="T25" s="176"/>
      <c r="U25" s="176"/>
      <c r="V25" s="176"/>
      <c r="W25" s="176"/>
      <c r="X25" s="176"/>
      <c r="Y25" s="176"/>
      <c r="Z25" s="176"/>
      <c r="AB25" s="112" t="s">
        <v>53</v>
      </c>
      <c r="AC25" s="112"/>
      <c r="AD25" s="112"/>
      <c r="AE25" s="112"/>
    </row>
    <row r="26" spans="1:60" ht="16.5" customHeight="1">
      <c r="B26" s="76" t="s">
        <v>54</v>
      </c>
      <c r="C26" s="76"/>
      <c r="D26" s="76"/>
      <c r="E26" s="76"/>
      <c r="F26" s="76"/>
      <c r="G26" s="165">
        <f>L3</f>
        <v>0</v>
      </c>
      <c r="H26" s="166"/>
      <c r="I26" s="166"/>
      <c r="J26" s="166"/>
      <c r="K26" s="166"/>
      <c r="L26" s="167"/>
      <c r="M26" s="168"/>
      <c r="N26" s="169"/>
      <c r="O26" s="169"/>
      <c r="P26" s="170"/>
      <c r="Q26" s="170"/>
      <c r="R26" s="170"/>
      <c r="S26" s="170"/>
      <c r="T26" s="170"/>
      <c r="U26" s="170"/>
      <c r="V26" s="170"/>
      <c r="W26" s="170"/>
      <c r="X26" s="170"/>
      <c r="Y26" s="170"/>
      <c r="Z26" s="170"/>
      <c r="AB26" s="73"/>
      <c r="AC26" s="73"/>
      <c r="AD26" s="73"/>
      <c r="AE26" s="73"/>
      <c r="AF26" s="73"/>
      <c r="AG26" s="73" t="s">
        <v>55</v>
      </c>
      <c r="AH26" s="73"/>
      <c r="AI26" s="73"/>
      <c r="AJ26" s="73"/>
      <c r="AK26" s="73"/>
      <c r="AL26" s="73"/>
      <c r="AM26" s="73"/>
      <c r="AN26" s="73"/>
      <c r="AO26" s="73" t="s">
        <v>40</v>
      </c>
      <c r="AP26" s="73"/>
      <c r="AQ26" s="163"/>
      <c r="AR26" s="73" t="s">
        <v>56</v>
      </c>
      <c r="AS26" s="73"/>
      <c r="AT26" s="73"/>
      <c r="AU26" s="73" t="s">
        <v>57</v>
      </c>
      <c r="AV26" s="73"/>
      <c r="AW26" s="73"/>
      <c r="AX26" s="73"/>
      <c r="AY26" s="73" t="s">
        <v>58</v>
      </c>
      <c r="AZ26" s="73"/>
      <c r="BA26" s="73"/>
      <c r="BB26" s="73"/>
    </row>
    <row r="27" spans="1:60" ht="16.5" customHeight="1">
      <c r="B27" s="76" t="s">
        <v>59</v>
      </c>
      <c r="C27" s="76"/>
      <c r="D27" s="76"/>
      <c r="E27" s="76"/>
      <c r="F27" s="76"/>
      <c r="G27" s="171">
        <f>IF(G26=0,0,G23/G26)</f>
        <v>0</v>
      </c>
      <c r="H27" s="172"/>
      <c r="I27" s="172"/>
      <c r="J27" s="172"/>
      <c r="K27" s="172"/>
      <c r="L27" s="167"/>
      <c r="M27" s="168"/>
      <c r="N27" s="169"/>
      <c r="O27" s="169"/>
      <c r="P27" s="170"/>
      <c r="Q27" s="170"/>
      <c r="R27" s="170"/>
      <c r="S27" s="170"/>
      <c r="T27" s="170"/>
      <c r="U27" s="170"/>
      <c r="V27" s="170"/>
      <c r="W27" s="170"/>
      <c r="X27" s="170"/>
      <c r="Y27" s="170"/>
      <c r="Z27" s="170"/>
      <c r="AB27" s="73"/>
      <c r="AC27" s="73"/>
      <c r="AD27" s="73"/>
      <c r="AE27" s="73"/>
      <c r="AF27" s="73"/>
      <c r="AG27" s="73" t="s">
        <v>60</v>
      </c>
      <c r="AH27" s="73"/>
      <c r="AI27" s="73" t="s">
        <v>61</v>
      </c>
      <c r="AJ27" s="73"/>
      <c r="AK27" s="73" t="s">
        <v>62</v>
      </c>
      <c r="AL27" s="73"/>
      <c r="AM27" s="73" t="s">
        <v>63</v>
      </c>
      <c r="AN27" s="73"/>
      <c r="AO27" s="73"/>
      <c r="AP27" s="73"/>
      <c r="AQ27" s="164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</row>
    <row r="28" spans="1:60" ht="16.5" customHeight="1">
      <c r="B28" s="9"/>
      <c r="C28" s="9"/>
      <c r="D28" s="9"/>
      <c r="E28" s="9"/>
      <c r="AB28" s="136" t="s">
        <v>64</v>
      </c>
      <c r="AC28" s="137"/>
      <c r="AD28" s="137"/>
      <c r="AE28" s="137"/>
      <c r="AF28" s="138"/>
      <c r="AG28" s="142"/>
      <c r="AH28" s="143"/>
      <c r="AI28" s="146">
        <f>AI29*2*AI57/309</f>
        <v>0</v>
      </c>
      <c r="AJ28" s="147"/>
      <c r="AK28" s="142"/>
      <c r="AL28" s="143"/>
      <c r="AM28" s="142"/>
      <c r="AN28" s="143"/>
      <c r="AO28" s="154">
        <f>SUM(AG28:AN28)</f>
        <v>0</v>
      </c>
      <c r="AP28" s="155"/>
      <c r="AQ28" s="22" t="s">
        <v>65</v>
      </c>
      <c r="AR28" s="130"/>
      <c r="AS28" s="131"/>
      <c r="AT28" s="132"/>
      <c r="AU28" s="86">
        <f>AR28*AO28</f>
        <v>0</v>
      </c>
      <c r="AV28" s="87"/>
      <c r="AW28" s="87"/>
      <c r="AX28" s="121"/>
      <c r="AY28" s="125">
        <f>IF(AU28=0,0,AU28/$AR$2)</f>
        <v>0</v>
      </c>
      <c r="AZ28" s="126"/>
      <c r="BA28" s="126"/>
      <c r="BB28" s="127"/>
    </row>
    <row r="29" spans="1:60" ht="16.5" customHeight="1">
      <c r="B29" s="158" t="s">
        <v>66</v>
      </c>
      <c r="C29" s="158"/>
      <c r="D29" s="158"/>
      <c r="E29" s="23"/>
      <c r="F29" s="24"/>
      <c r="G29" s="24"/>
      <c r="H29" s="24"/>
      <c r="I29" s="24"/>
      <c r="J29" s="24"/>
      <c r="K29" s="24"/>
      <c r="L29" s="24"/>
      <c r="M29" s="24"/>
      <c r="N29" s="24"/>
      <c r="S29" s="159"/>
      <c r="T29" s="159"/>
      <c r="U29" s="159"/>
      <c r="V29" s="160"/>
      <c r="W29" s="160"/>
      <c r="X29" s="160"/>
      <c r="Y29" s="160"/>
      <c r="Z29" s="160"/>
      <c r="AB29" s="139"/>
      <c r="AC29" s="140"/>
      <c r="AD29" s="140"/>
      <c r="AE29" s="140"/>
      <c r="AF29" s="141"/>
      <c r="AG29" s="144"/>
      <c r="AH29" s="145"/>
      <c r="AI29" s="161"/>
      <c r="AJ29" s="162"/>
      <c r="AK29" s="144"/>
      <c r="AL29" s="145"/>
      <c r="AM29" s="144"/>
      <c r="AN29" s="145"/>
      <c r="AO29" s="156"/>
      <c r="AP29" s="157"/>
      <c r="AQ29" s="22" t="s">
        <v>67</v>
      </c>
      <c r="AR29" s="130"/>
      <c r="AS29" s="131"/>
      <c r="AT29" s="132"/>
      <c r="AU29" s="86">
        <f>AR29*AO28</f>
        <v>0</v>
      </c>
      <c r="AV29" s="87"/>
      <c r="AW29" s="87"/>
      <c r="AX29" s="121"/>
      <c r="AY29" s="125">
        <f>IF(AU29=0,0,AU29/$AR$2)</f>
        <v>0</v>
      </c>
      <c r="AZ29" s="126"/>
      <c r="BA29" s="126"/>
      <c r="BB29" s="127"/>
      <c r="BC29" s="3"/>
    </row>
    <row r="30" spans="1:60" ht="16.5" customHeight="1">
      <c r="B30" s="117" t="s">
        <v>68</v>
      </c>
      <c r="C30" s="117"/>
      <c r="D30" s="117"/>
      <c r="E30" s="117"/>
      <c r="F30" s="117"/>
      <c r="G30" s="148">
        <f>L3</f>
        <v>0</v>
      </c>
      <c r="H30" s="148"/>
      <c r="I30" s="148"/>
      <c r="J30" s="148"/>
      <c r="K30" s="148"/>
      <c r="L30" s="148"/>
      <c r="M30" s="148"/>
      <c r="N30" s="119">
        <f>IF($G$30=0,0,G30/$G$30)</f>
        <v>0</v>
      </c>
      <c r="O30" s="119"/>
      <c r="P30" s="149" t="s">
        <v>69</v>
      </c>
      <c r="Q30" s="149"/>
      <c r="R30" s="149"/>
      <c r="S30" s="149"/>
      <c r="T30" s="149"/>
      <c r="U30" s="149"/>
      <c r="V30" s="149"/>
      <c r="W30" s="149"/>
      <c r="X30" s="149"/>
      <c r="Y30" s="149"/>
      <c r="Z30" s="149"/>
      <c r="AB30" s="150" t="s">
        <v>70</v>
      </c>
      <c r="AC30" s="151"/>
      <c r="AD30" s="151"/>
      <c r="AE30" s="151"/>
      <c r="AF30" s="152"/>
      <c r="AG30" s="153"/>
      <c r="AH30" s="153"/>
      <c r="AI30" s="153"/>
      <c r="AJ30" s="153"/>
      <c r="AK30" s="153"/>
      <c r="AL30" s="153"/>
      <c r="AM30" s="153"/>
      <c r="AN30" s="153"/>
      <c r="AO30" s="128">
        <f>SUM(AG30:AN30)</f>
        <v>0</v>
      </c>
      <c r="AP30" s="129"/>
      <c r="AQ30" s="22" t="s">
        <v>65</v>
      </c>
      <c r="AR30" s="130"/>
      <c r="AS30" s="131"/>
      <c r="AT30" s="132"/>
      <c r="AU30" s="86">
        <f>AR30*AO30</f>
        <v>0</v>
      </c>
      <c r="AV30" s="87"/>
      <c r="AW30" s="87"/>
      <c r="AX30" s="121"/>
      <c r="AY30" s="125">
        <f>IF(AU30=0,0,AU30/$AR$2)</f>
        <v>0</v>
      </c>
      <c r="AZ30" s="126"/>
      <c r="BA30" s="126"/>
      <c r="BB30" s="127"/>
      <c r="BH30" s="3"/>
    </row>
    <row r="31" spans="1:60" ht="16.5" customHeight="1">
      <c r="A31" s="3"/>
      <c r="B31" s="117" t="s">
        <v>71</v>
      </c>
      <c r="C31" s="117"/>
      <c r="D31" s="117"/>
      <c r="E31" s="117"/>
      <c r="F31" s="117"/>
      <c r="G31" s="118">
        <f>G30-G23</f>
        <v>0</v>
      </c>
      <c r="H31" s="118"/>
      <c r="I31" s="118"/>
      <c r="J31" s="118"/>
      <c r="K31" s="118"/>
      <c r="L31" s="118"/>
      <c r="M31" s="118"/>
      <c r="N31" s="119">
        <f>IF($G$30=0,0,G31/$G$30)</f>
        <v>0</v>
      </c>
      <c r="O31" s="119"/>
      <c r="P31" s="149"/>
      <c r="Q31" s="149"/>
      <c r="R31" s="149"/>
      <c r="S31" s="149"/>
      <c r="T31" s="149"/>
      <c r="U31" s="149"/>
      <c r="V31" s="149"/>
      <c r="W31" s="149"/>
      <c r="X31" s="149"/>
      <c r="Y31" s="149"/>
      <c r="Z31" s="149"/>
      <c r="AB31" s="133" t="s">
        <v>40</v>
      </c>
      <c r="AC31" s="134"/>
      <c r="AD31" s="134"/>
      <c r="AE31" s="134"/>
      <c r="AF31" s="135"/>
      <c r="AG31" s="120">
        <f>SUM(AG28:AH30)</f>
        <v>0</v>
      </c>
      <c r="AH31" s="120"/>
      <c r="AI31" s="120">
        <f>AI28+AI30</f>
        <v>0</v>
      </c>
      <c r="AJ31" s="120"/>
      <c r="AK31" s="120">
        <f>SUM(AK28:AL30)</f>
        <v>0</v>
      </c>
      <c r="AL31" s="120"/>
      <c r="AM31" s="120">
        <f>SUM(AM28:AN30)</f>
        <v>0</v>
      </c>
      <c r="AN31" s="120"/>
      <c r="AO31" s="120">
        <f>SUM(AO30:AP30)</f>
        <v>0</v>
      </c>
      <c r="AP31" s="120"/>
      <c r="AQ31" s="22"/>
      <c r="AR31" s="122"/>
      <c r="AS31" s="123"/>
      <c r="AT31" s="124"/>
      <c r="AU31" s="122">
        <f>SUM(AU28:AX30)</f>
        <v>0</v>
      </c>
      <c r="AV31" s="123"/>
      <c r="AW31" s="123"/>
      <c r="AX31" s="124"/>
      <c r="AY31" s="125">
        <f>SUM(AY28:BB30)</f>
        <v>0</v>
      </c>
      <c r="AZ31" s="126"/>
      <c r="BA31" s="126"/>
      <c r="BB31" s="127"/>
      <c r="BD31" s="3"/>
      <c r="BE31" s="3"/>
    </row>
    <row r="32" spans="1:60" s="3" customFormat="1" ht="16.5" customHeight="1">
      <c r="A32" s="1"/>
      <c r="B32" s="117" t="s">
        <v>72</v>
      </c>
      <c r="C32" s="117"/>
      <c r="D32" s="117"/>
      <c r="E32" s="117"/>
      <c r="F32" s="117"/>
      <c r="G32" s="118">
        <f>G30-G18</f>
        <v>0</v>
      </c>
      <c r="H32" s="118"/>
      <c r="I32" s="118"/>
      <c r="J32" s="118"/>
      <c r="K32" s="118"/>
      <c r="L32" s="118"/>
      <c r="M32" s="118"/>
      <c r="N32" s="119">
        <f>IF($G$30=0,0,G32/$G$30)</f>
        <v>0</v>
      </c>
      <c r="O32" s="119"/>
      <c r="P32" s="149"/>
      <c r="Q32" s="149"/>
      <c r="R32" s="149"/>
      <c r="S32" s="149"/>
      <c r="T32" s="149"/>
      <c r="U32" s="149"/>
      <c r="V32" s="149"/>
      <c r="W32" s="149"/>
      <c r="X32" s="149"/>
      <c r="Y32" s="149"/>
      <c r="Z32" s="149"/>
      <c r="AB32" s="1"/>
      <c r="AC32" s="1"/>
      <c r="AD32" s="1"/>
      <c r="AE32" s="1"/>
      <c r="AF32" s="25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26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H32" s="1"/>
    </row>
    <row r="33" spans="2:54" ht="16.5" customHeight="1">
      <c r="B33" s="117" t="s">
        <v>73</v>
      </c>
      <c r="C33" s="117"/>
      <c r="D33" s="117"/>
      <c r="E33" s="117"/>
      <c r="F33" s="117"/>
      <c r="G33" s="118">
        <f>G30-(G7+G8+G10+G13+G14+G16+G17*20.369%+G19)</f>
        <v>0</v>
      </c>
      <c r="H33" s="118"/>
      <c r="I33" s="118"/>
      <c r="J33" s="118"/>
      <c r="K33" s="118"/>
      <c r="L33" s="118"/>
      <c r="M33" s="118"/>
      <c r="N33" s="119">
        <f>IF($G$30=0,0,G33/$G$30)</f>
        <v>0</v>
      </c>
      <c r="O33" s="119"/>
      <c r="P33" s="149"/>
      <c r="Q33" s="149"/>
      <c r="R33" s="149"/>
      <c r="S33" s="149"/>
      <c r="T33" s="149"/>
      <c r="U33" s="149"/>
      <c r="V33" s="149"/>
      <c r="W33" s="149"/>
      <c r="X33" s="149"/>
      <c r="Y33" s="149"/>
      <c r="Z33" s="149"/>
      <c r="AB33" s="112" t="s">
        <v>74</v>
      </c>
      <c r="AC33" s="112"/>
      <c r="AD33" s="112"/>
      <c r="AE33" s="112"/>
    </row>
    <row r="34" spans="2:54" ht="16.5" customHeight="1">
      <c r="AB34" s="113" t="s">
        <v>75</v>
      </c>
      <c r="AC34" s="113"/>
      <c r="AD34" s="113"/>
      <c r="AE34" s="113"/>
      <c r="AF34" s="27"/>
      <c r="AG34" s="5"/>
      <c r="AH34" s="5"/>
    </row>
    <row r="35" spans="2:54" ht="16.5" customHeight="1">
      <c r="AB35" s="81" t="s">
        <v>76</v>
      </c>
      <c r="AC35" s="82"/>
      <c r="AD35" s="82"/>
      <c r="AE35" s="82"/>
      <c r="AF35" s="82"/>
      <c r="AG35" s="82"/>
      <c r="AH35" s="82"/>
      <c r="AI35" s="82"/>
      <c r="AJ35" s="83"/>
      <c r="AK35" s="114" t="s">
        <v>77</v>
      </c>
      <c r="AL35" s="115"/>
      <c r="AM35" s="115"/>
      <c r="AN35" s="116"/>
      <c r="AO35" s="81" t="s">
        <v>78</v>
      </c>
      <c r="AP35" s="82"/>
      <c r="AQ35" s="82"/>
      <c r="AR35" s="83"/>
      <c r="AS35" s="73" t="s">
        <v>14</v>
      </c>
      <c r="AT35" s="73"/>
      <c r="AU35" s="73"/>
      <c r="AV35" s="73"/>
      <c r="AW35" s="73"/>
      <c r="AX35" s="73" t="s">
        <v>15</v>
      </c>
      <c r="AY35" s="73"/>
      <c r="AZ35" s="73"/>
      <c r="BA35" s="73"/>
      <c r="BB35" s="73"/>
    </row>
    <row r="36" spans="2:54" ht="16.5" customHeight="1">
      <c r="AB36" s="107"/>
      <c r="AC36" s="108"/>
      <c r="AD36" s="108"/>
      <c r="AE36" s="108"/>
      <c r="AF36" s="108"/>
      <c r="AG36" s="108"/>
      <c r="AH36" s="108"/>
      <c r="AI36" s="108"/>
      <c r="AJ36" s="109"/>
      <c r="AK36" s="95"/>
      <c r="AL36" s="96"/>
      <c r="AM36" s="96"/>
      <c r="AN36" s="28"/>
      <c r="AO36" s="107"/>
      <c r="AP36" s="108"/>
      <c r="AQ36" s="108"/>
      <c r="AR36" s="109"/>
      <c r="AS36" s="75" t="str">
        <f>IF(AK36="","",AO36*AK36)</f>
        <v/>
      </c>
      <c r="AT36" s="75"/>
      <c r="AU36" s="75"/>
      <c r="AV36" s="75"/>
      <c r="AW36" s="75"/>
      <c r="AX36" s="100" t="str">
        <f>IF(AS36="","",AS36/$AR$2)</f>
        <v/>
      </c>
      <c r="AY36" s="100"/>
      <c r="AZ36" s="100"/>
      <c r="BA36" s="100"/>
      <c r="BB36" s="100"/>
    </row>
    <row r="37" spans="2:54" ht="16.5" customHeight="1">
      <c r="AB37" s="107"/>
      <c r="AC37" s="108"/>
      <c r="AD37" s="108"/>
      <c r="AE37" s="108"/>
      <c r="AF37" s="108"/>
      <c r="AG37" s="108"/>
      <c r="AH37" s="108"/>
      <c r="AI37" s="108"/>
      <c r="AJ37" s="109"/>
      <c r="AK37" s="95"/>
      <c r="AL37" s="96"/>
      <c r="AM37" s="96"/>
      <c r="AN37" s="28"/>
      <c r="AO37" s="107"/>
      <c r="AP37" s="108"/>
      <c r="AQ37" s="108"/>
      <c r="AR37" s="109"/>
      <c r="AS37" s="75" t="str">
        <f>IF(AK37="","",AO37*AK37)</f>
        <v/>
      </c>
      <c r="AT37" s="75"/>
      <c r="AU37" s="75"/>
      <c r="AV37" s="75"/>
      <c r="AW37" s="75"/>
      <c r="AX37" s="100" t="str">
        <f>IF(AS37="","",AS37/$AR$2)</f>
        <v/>
      </c>
      <c r="AY37" s="100"/>
      <c r="AZ37" s="100"/>
      <c r="BA37" s="100"/>
      <c r="BB37" s="100"/>
    </row>
    <row r="38" spans="2:54" ht="16.5" customHeight="1">
      <c r="AB38" s="107"/>
      <c r="AC38" s="108"/>
      <c r="AD38" s="108"/>
      <c r="AE38" s="108"/>
      <c r="AF38" s="108"/>
      <c r="AG38" s="108"/>
      <c r="AH38" s="108"/>
      <c r="AI38" s="108"/>
      <c r="AJ38" s="109"/>
      <c r="AK38" s="95"/>
      <c r="AL38" s="96"/>
      <c r="AM38" s="96"/>
      <c r="AN38" s="28"/>
      <c r="AO38" s="107"/>
      <c r="AP38" s="108"/>
      <c r="AQ38" s="108"/>
      <c r="AR38" s="109"/>
      <c r="AS38" s="75" t="str">
        <f>IF(AK38="","",AO38*AK38)</f>
        <v/>
      </c>
      <c r="AT38" s="75"/>
      <c r="AU38" s="75"/>
      <c r="AV38" s="75"/>
      <c r="AW38" s="75"/>
      <c r="AX38" s="100" t="str">
        <f>IF(AS38="","",AS38/$AR$2)</f>
        <v/>
      </c>
      <c r="AY38" s="100"/>
      <c r="AZ38" s="100"/>
      <c r="BA38" s="100"/>
      <c r="BB38" s="100"/>
    </row>
    <row r="39" spans="2:54" ht="16.5" customHeight="1">
      <c r="AB39" s="107"/>
      <c r="AC39" s="108"/>
      <c r="AD39" s="108"/>
      <c r="AE39" s="108"/>
      <c r="AF39" s="108"/>
      <c r="AG39" s="108"/>
      <c r="AH39" s="108"/>
      <c r="AI39" s="108"/>
      <c r="AJ39" s="109"/>
      <c r="AK39" s="95"/>
      <c r="AL39" s="96"/>
      <c r="AM39" s="96"/>
      <c r="AN39" s="28"/>
      <c r="AO39" s="107"/>
      <c r="AP39" s="108"/>
      <c r="AQ39" s="108"/>
      <c r="AR39" s="109"/>
      <c r="AS39" s="75" t="str">
        <f>IF(AK39="","",AO39*AK39)</f>
        <v/>
      </c>
      <c r="AT39" s="75"/>
      <c r="AU39" s="75"/>
      <c r="AV39" s="75"/>
      <c r="AW39" s="75"/>
      <c r="AX39" s="100" t="str">
        <f>IF(AS39="","",AS39/$AR$2)</f>
        <v/>
      </c>
      <c r="AY39" s="100"/>
      <c r="AZ39" s="100"/>
      <c r="BA39" s="100"/>
      <c r="BB39" s="100"/>
    </row>
    <row r="40" spans="2:54" ht="16.5" customHeight="1">
      <c r="AB40" s="81" t="s">
        <v>40</v>
      </c>
      <c r="AC40" s="82"/>
      <c r="AD40" s="82"/>
      <c r="AE40" s="82"/>
      <c r="AF40" s="82"/>
      <c r="AG40" s="82"/>
      <c r="AH40" s="82"/>
      <c r="AI40" s="82"/>
      <c r="AJ40" s="83"/>
      <c r="AK40" s="86"/>
      <c r="AL40" s="87"/>
      <c r="AM40" s="87"/>
      <c r="AN40" s="14"/>
      <c r="AO40" s="81"/>
      <c r="AP40" s="82"/>
      <c r="AQ40" s="82"/>
      <c r="AR40" s="83"/>
      <c r="AS40" s="75">
        <f>SUM(AS36:AW39)</f>
        <v>0</v>
      </c>
      <c r="AT40" s="75"/>
      <c r="AU40" s="75"/>
      <c r="AV40" s="75"/>
      <c r="AW40" s="75"/>
      <c r="AX40" s="100">
        <f>SUM(AX36:BB39)</f>
        <v>0</v>
      </c>
      <c r="AY40" s="100"/>
      <c r="AZ40" s="100"/>
      <c r="BA40" s="100"/>
      <c r="BB40" s="100"/>
    </row>
    <row r="41" spans="2:54" ht="16.5" customHeight="1"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30"/>
      <c r="AM41" s="30"/>
      <c r="AN41" s="30"/>
      <c r="AO41" s="30"/>
      <c r="AP41" s="30"/>
      <c r="AQ41" s="30"/>
      <c r="AR41" s="30"/>
      <c r="AS41" s="30"/>
      <c r="AT41" s="30"/>
      <c r="AU41" s="31"/>
      <c r="AV41" s="31"/>
      <c r="AW41" s="31"/>
      <c r="AX41" s="32"/>
      <c r="AY41" s="32"/>
      <c r="AZ41" s="33"/>
      <c r="BA41" s="33"/>
      <c r="BB41" s="33"/>
    </row>
    <row r="42" spans="2:54" ht="16.5" customHeight="1">
      <c r="AB42" s="24" t="s">
        <v>79</v>
      </c>
      <c r="AC42" s="24"/>
      <c r="AD42" s="24"/>
      <c r="AE42" s="24" t="s">
        <v>80</v>
      </c>
      <c r="AF42" s="34"/>
      <c r="AG42" s="34"/>
      <c r="AH42" s="34"/>
      <c r="AI42" s="34"/>
      <c r="AJ42" s="34"/>
      <c r="AK42" s="18"/>
      <c r="AL42" s="35"/>
      <c r="AM42" s="36"/>
      <c r="AN42" s="37"/>
      <c r="AO42" s="38"/>
      <c r="AP42" s="38"/>
      <c r="AQ42" s="38"/>
      <c r="AR42" s="38"/>
      <c r="AS42" s="38"/>
      <c r="AT42" s="38"/>
      <c r="AU42" s="24"/>
      <c r="AV42" s="24"/>
      <c r="AW42" s="24"/>
      <c r="AX42" s="24"/>
      <c r="AY42" s="24"/>
      <c r="AZ42" s="39"/>
      <c r="BA42" s="39"/>
      <c r="BB42" s="39"/>
    </row>
    <row r="43" spans="2:54" ht="16.5" customHeight="1">
      <c r="AB43" s="73" t="s">
        <v>81</v>
      </c>
      <c r="AC43" s="73"/>
      <c r="AD43" s="73"/>
      <c r="AE43" s="73"/>
      <c r="AF43" s="73"/>
      <c r="AG43" s="73"/>
      <c r="AH43" s="73"/>
      <c r="AI43" s="73"/>
      <c r="AJ43" s="73"/>
      <c r="AK43" s="103" t="s">
        <v>82</v>
      </c>
      <c r="AL43" s="104"/>
      <c r="AM43" s="104"/>
      <c r="AN43" s="105"/>
      <c r="AO43" s="111" t="s">
        <v>78</v>
      </c>
      <c r="AP43" s="111"/>
      <c r="AQ43" s="111"/>
      <c r="AR43" s="111"/>
      <c r="AS43" s="106" t="s">
        <v>14</v>
      </c>
      <c r="AT43" s="106"/>
      <c r="AU43" s="106"/>
      <c r="AV43" s="106"/>
      <c r="AW43" s="106"/>
      <c r="AX43" s="73" t="s">
        <v>15</v>
      </c>
      <c r="AY43" s="73"/>
      <c r="AZ43" s="73"/>
      <c r="BA43" s="73"/>
      <c r="BB43" s="73"/>
    </row>
    <row r="44" spans="2:54" ht="16.5" customHeight="1">
      <c r="AB44" s="107"/>
      <c r="AC44" s="108"/>
      <c r="AD44" s="108"/>
      <c r="AE44" s="108"/>
      <c r="AF44" s="108"/>
      <c r="AG44" s="108"/>
      <c r="AH44" s="108"/>
      <c r="AI44" s="108"/>
      <c r="AJ44" s="109"/>
      <c r="AK44" s="95"/>
      <c r="AL44" s="96"/>
      <c r="AM44" s="96"/>
      <c r="AN44" s="28"/>
      <c r="AO44" s="88"/>
      <c r="AP44" s="89"/>
      <c r="AQ44" s="89"/>
      <c r="AR44" s="90"/>
      <c r="AS44" s="75" t="str">
        <f t="shared" ref="AS44:AS51" si="4">IF(AK44="","",AO44*AK44)</f>
        <v/>
      </c>
      <c r="AT44" s="75"/>
      <c r="AU44" s="75"/>
      <c r="AV44" s="75"/>
      <c r="AW44" s="75"/>
      <c r="AX44" s="100" t="str">
        <f t="shared" ref="AX44:AX51" si="5">IF(AS44="","",AS44/$AR$2)</f>
        <v/>
      </c>
      <c r="AY44" s="100"/>
      <c r="AZ44" s="100"/>
      <c r="BA44" s="100"/>
      <c r="BB44" s="100"/>
    </row>
    <row r="45" spans="2:54" ht="16.5" customHeight="1">
      <c r="AA45" s="40"/>
      <c r="AB45" s="107"/>
      <c r="AC45" s="108"/>
      <c r="AD45" s="108"/>
      <c r="AE45" s="108"/>
      <c r="AF45" s="108"/>
      <c r="AG45" s="108"/>
      <c r="AH45" s="108"/>
      <c r="AI45" s="108"/>
      <c r="AJ45" s="109"/>
      <c r="AK45" s="95"/>
      <c r="AL45" s="96"/>
      <c r="AM45" s="96"/>
      <c r="AN45" s="28"/>
      <c r="AO45" s="88"/>
      <c r="AP45" s="89"/>
      <c r="AQ45" s="89"/>
      <c r="AR45" s="90"/>
      <c r="AS45" s="75" t="str">
        <f t="shared" si="4"/>
        <v/>
      </c>
      <c r="AT45" s="75"/>
      <c r="AU45" s="75"/>
      <c r="AV45" s="75"/>
      <c r="AW45" s="75"/>
      <c r="AX45" s="100" t="str">
        <f t="shared" si="5"/>
        <v/>
      </c>
      <c r="AY45" s="100"/>
      <c r="AZ45" s="100"/>
      <c r="BA45" s="100"/>
      <c r="BB45" s="100"/>
    </row>
    <row r="46" spans="2:54" ht="16.5" customHeight="1">
      <c r="AA46" s="3"/>
      <c r="AB46" s="107"/>
      <c r="AC46" s="108"/>
      <c r="AD46" s="108"/>
      <c r="AE46" s="108"/>
      <c r="AF46" s="108"/>
      <c r="AG46" s="108"/>
      <c r="AH46" s="108"/>
      <c r="AI46" s="108"/>
      <c r="AJ46" s="109"/>
      <c r="AK46" s="95"/>
      <c r="AL46" s="96"/>
      <c r="AM46" s="96"/>
      <c r="AN46" s="28"/>
      <c r="AO46" s="88"/>
      <c r="AP46" s="89"/>
      <c r="AQ46" s="89"/>
      <c r="AR46" s="90"/>
      <c r="AS46" s="75" t="str">
        <f t="shared" si="4"/>
        <v/>
      </c>
      <c r="AT46" s="75"/>
      <c r="AU46" s="75"/>
      <c r="AV46" s="75"/>
      <c r="AW46" s="75"/>
      <c r="AX46" s="100" t="str">
        <f t="shared" si="5"/>
        <v/>
      </c>
      <c r="AY46" s="100"/>
      <c r="AZ46" s="100"/>
      <c r="BA46" s="100"/>
      <c r="BB46" s="100"/>
    </row>
    <row r="47" spans="2:54" ht="16.5" customHeight="1">
      <c r="AB47" s="107"/>
      <c r="AC47" s="108"/>
      <c r="AD47" s="108"/>
      <c r="AE47" s="108"/>
      <c r="AF47" s="108"/>
      <c r="AG47" s="108"/>
      <c r="AH47" s="108"/>
      <c r="AI47" s="108"/>
      <c r="AJ47" s="109"/>
      <c r="AK47" s="95"/>
      <c r="AL47" s="96"/>
      <c r="AM47" s="96"/>
      <c r="AN47" s="28"/>
      <c r="AO47" s="88"/>
      <c r="AP47" s="89"/>
      <c r="AQ47" s="89"/>
      <c r="AR47" s="90"/>
      <c r="AS47" s="75" t="str">
        <f t="shared" si="4"/>
        <v/>
      </c>
      <c r="AT47" s="75"/>
      <c r="AU47" s="75"/>
      <c r="AV47" s="75"/>
      <c r="AW47" s="75"/>
      <c r="AX47" s="100" t="str">
        <f t="shared" si="5"/>
        <v/>
      </c>
      <c r="AY47" s="100"/>
      <c r="AZ47" s="100"/>
      <c r="BA47" s="100"/>
      <c r="BB47" s="100"/>
    </row>
    <row r="48" spans="2:54" ht="16.5" customHeight="1">
      <c r="AB48" s="107"/>
      <c r="AC48" s="108"/>
      <c r="AD48" s="108"/>
      <c r="AE48" s="108"/>
      <c r="AF48" s="108"/>
      <c r="AG48" s="108"/>
      <c r="AH48" s="108"/>
      <c r="AI48" s="108"/>
      <c r="AJ48" s="109"/>
      <c r="AK48" s="95"/>
      <c r="AL48" s="96"/>
      <c r="AM48" s="96"/>
      <c r="AN48" s="28"/>
      <c r="AO48" s="88"/>
      <c r="AP48" s="89"/>
      <c r="AQ48" s="89"/>
      <c r="AR48" s="90"/>
      <c r="AS48" s="75" t="str">
        <f t="shared" si="4"/>
        <v/>
      </c>
      <c r="AT48" s="75"/>
      <c r="AU48" s="75"/>
      <c r="AV48" s="75"/>
      <c r="AW48" s="75"/>
      <c r="AX48" s="100" t="str">
        <f t="shared" si="5"/>
        <v/>
      </c>
      <c r="AY48" s="100"/>
      <c r="AZ48" s="100"/>
      <c r="BA48" s="100"/>
      <c r="BB48" s="100"/>
    </row>
    <row r="49" spans="28:54" ht="16.5" customHeight="1">
      <c r="AB49" s="110"/>
      <c r="AC49" s="110"/>
      <c r="AD49" s="110"/>
      <c r="AE49" s="110"/>
      <c r="AF49" s="110"/>
      <c r="AG49" s="110"/>
      <c r="AH49" s="110"/>
      <c r="AI49" s="110"/>
      <c r="AJ49" s="110"/>
      <c r="AK49" s="95"/>
      <c r="AL49" s="96"/>
      <c r="AM49" s="96"/>
      <c r="AN49" s="28"/>
      <c r="AO49" s="88"/>
      <c r="AP49" s="89"/>
      <c r="AQ49" s="89"/>
      <c r="AR49" s="90"/>
      <c r="AS49" s="75" t="str">
        <f t="shared" si="4"/>
        <v/>
      </c>
      <c r="AT49" s="75"/>
      <c r="AU49" s="75"/>
      <c r="AV49" s="75"/>
      <c r="AW49" s="75"/>
      <c r="AX49" s="100" t="str">
        <f t="shared" si="5"/>
        <v/>
      </c>
      <c r="AY49" s="100"/>
      <c r="AZ49" s="100"/>
      <c r="BA49" s="100"/>
      <c r="BB49" s="100"/>
    </row>
    <row r="50" spans="28:54" ht="16.5" customHeight="1">
      <c r="AB50" s="110"/>
      <c r="AC50" s="110"/>
      <c r="AD50" s="110"/>
      <c r="AE50" s="110"/>
      <c r="AF50" s="110"/>
      <c r="AG50" s="110"/>
      <c r="AH50" s="110"/>
      <c r="AI50" s="110"/>
      <c r="AJ50" s="110"/>
      <c r="AK50" s="95"/>
      <c r="AL50" s="96"/>
      <c r="AM50" s="96"/>
      <c r="AN50" s="28"/>
      <c r="AO50" s="88"/>
      <c r="AP50" s="89"/>
      <c r="AQ50" s="89"/>
      <c r="AR50" s="90"/>
      <c r="AS50" s="75" t="str">
        <f t="shared" si="4"/>
        <v/>
      </c>
      <c r="AT50" s="75"/>
      <c r="AU50" s="75"/>
      <c r="AV50" s="75"/>
      <c r="AW50" s="75"/>
      <c r="AX50" s="100" t="str">
        <f t="shared" si="5"/>
        <v/>
      </c>
      <c r="AY50" s="100"/>
      <c r="AZ50" s="100"/>
      <c r="BA50" s="100"/>
      <c r="BB50" s="100"/>
    </row>
    <row r="51" spans="28:54" ht="16.5" customHeight="1">
      <c r="AB51" s="107"/>
      <c r="AC51" s="108"/>
      <c r="AD51" s="108"/>
      <c r="AE51" s="108"/>
      <c r="AF51" s="108"/>
      <c r="AG51" s="108"/>
      <c r="AH51" s="108"/>
      <c r="AI51" s="108"/>
      <c r="AJ51" s="109"/>
      <c r="AK51" s="95"/>
      <c r="AL51" s="96"/>
      <c r="AM51" s="96"/>
      <c r="AN51" s="28"/>
      <c r="AO51" s="88"/>
      <c r="AP51" s="89"/>
      <c r="AQ51" s="89"/>
      <c r="AR51" s="90"/>
      <c r="AS51" s="75" t="str">
        <f t="shared" si="4"/>
        <v/>
      </c>
      <c r="AT51" s="75"/>
      <c r="AU51" s="75"/>
      <c r="AV51" s="75"/>
      <c r="AW51" s="75"/>
      <c r="AX51" s="100" t="str">
        <f t="shared" si="5"/>
        <v/>
      </c>
      <c r="AY51" s="100"/>
      <c r="AZ51" s="100"/>
      <c r="BA51" s="100"/>
      <c r="BB51" s="100"/>
    </row>
    <row r="52" spans="28:54" ht="16.5" customHeight="1">
      <c r="AB52" s="81" t="s">
        <v>40</v>
      </c>
      <c r="AC52" s="82"/>
      <c r="AD52" s="82"/>
      <c r="AE52" s="82"/>
      <c r="AF52" s="82"/>
      <c r="AG52" s="82"/>
      <c r="AH52" s="82"/>
      <c r="AI52" s="82"/>
      <c r="AJ52" s="83"/>
      <c r="AK52" s="86"/>
      <c r="AL52" s="87"/>
      <c r="AM52" s="87"/>
      <c r="AN52" s="14"/>
      <c r="AO52" s="88"/>
      <c r="AP52" s="89"/>
      <c r="AQ52" s="89"/>
      <c r="AR52" s="90"/>
      <c r="AS52" s="75">
        <f>SUM(AS44:AW51)</f>
        <v>0</v>
      </c>
      <c r="AT52" s="75"/>
      <c r="AU52" s="75"/>
      <c r="AV52" s="75"/>
      <c r="AW52" s="75"/>
      <c r="AX52" s="91">
        <f>SUM(AX44:BB51)</f>
        <v>0</v>
      </c>
      <c r="AY52" s="91"/>
      <c r="AZ52" s="91"/>
      <c r="BA52" s="91"/>
      <c r="BB52" s="91"/>
    </row>
    <row r="53" spans="28:54" ht="16.5" customHeight="1">
      <c r="AO53" s="5"/>
      <c r="AP53" s="5"/>
      <c r="AQ53" s="5"/>
      <c r="AR53" s="5"/>
    </row>
    <row r="54" spans="28:54" ht="16.5" customHeight="1">
      <c r="AB54" s="1" t="s">
        <v>83</v>
      </c>
    </row>
    <row r="55" spans="28:54" ht="16.5" customHeight="1">
      <c r="AB55" s="73" t="s">
        <v>84</v>
      </c>
      <c r="AC55" s="73"/>
      <c r="AD55" s="73"/>
      <c r="AE55" s="73"/>
      <c r="AF55" s="73"/>
      <c r="AG55" s="73"/>
      <c r="AH55" s="73"/>
      <c r="AI55" s="73"/>
      <c r="AJ55" s="73"/>
      <c r="AK55" s="103" t="s">
        <v>85</v>
      </c>
      <c r="AL55" s="104"/>
      <c r="AM55" s="104"/>
      <c r="AN55" s="105"/>
      <c r="AO55" s="81" t="s">
        <v>86</v>
      </c>
      <c r="AP55" s="82"/>
      <c r="AQ55" s="82"/>
      <c r="AR55" s="83"/>
      <c r="AS55" s="106" t="s">
        <v>87</v>
      </c>
      <c r="AT55" s="106"/>
      <c r="AU55" s="106"/>
      <c r="AV55" s="106"/>
      <c r="AW55" s="106"/>
      <c r="AX55" s="73" t="s">
        <v>15</v>
      </c>
      <c r="AY55" s="73"/>
      <c r="AZ55" s="73"/>
      <c r="BA55" s="73"/>
      <c r="BB55" s="73"/>
    </row>
    <row r="56" spans="28:54" ht="16.5" customHeight="1">
      <c r="AB56" s="88" t="s">
        <v>88</v>
      </c>
      <c r="AC56" s="89"/>
      <c r="AD56" s="89"/>
      <c r="AE56" s="89"/>
      <c r="AF56" s="89"/>
      <c r="AG56" s="89"/>
      <c r="AH56" s="89"/>
      <c r="AI56" s="89"/>
      <c r="AJ56" s="90"/>
      <c r="AK56" s="95"/>
      <c r="AL56" s="96"/>
      <c r="AM56" s="96"/>
      <c r="AN56" s="28" t="s">
        <v>89</v>
      </c>
      <c r="AO56" s="97">
        <v>1.62</v>
      </c>
      <c r="AP56" s="98"/>
      <c r="AQ56" s="98"/>
      <c r="AR56" s="99"/>
      <c r="AS56" s="75" t="str">
        <f t="shared" ref="AS56:AS65" si="6">IF(AK56="","",AO56*AK56)</f>
        <v/>
      </c>
      <c r="AT56" s="75"/>
      <c r="AU56" s="75"/>
      <c r="AV56" s="75"/>
      <c r="AW56" s="75"/>
      <c r="AX56" s="100" t="str">
        <f t="shared" ref="AX56:AX65" si="7">IF(AS56="","",AS56/$AR$2)</f>
        <v/>
      </c>
      <c r="AY56" s="100"/>
      <c r="AZ56" s="100"/>
      <c r="BA56" s="100"/>
      <c r="BB56" s="100"/>
    </row>
    <row r="57" spans="28:54" ht="16.5" customHeight="1">
      <c r="AB57" s="88" t="s">
        <v>90</v>
      </c>
      <c r="AC57" s="89"/>
      <c r="AD57" s="89"/>
      <c r="AE57" s="89"/>
      <c r="AF57" s="89"/>
      <c r="AG57" s="101" t="s">
        <v>91</v>
      </c>
      <c r="AH57" s="102"/>
      <c r="AI57" s="41"/>
      <c r="AJ57" s="42" t="s">
        <v>92</v>
      </c>
      <c r="AK57" s="95"/>
      <c r="AL57" s="96"/>
      <c r="AM57" s="96"/>
      <c r="AN57" s="28" t="s">
        <v>93</v>
      </c>
      <c r="AO57" s="97">
        <v>0.09</v>
      </c>
      <c r="AP57" s="98"/>
      <c r="AQ57" s="98"/>
      <c r="AR57" s="99"/>
      <c r="AS57" s="75" t="str">
        <f>IF(AK57="","",AI57*AK57*AO57)</f>
        <v/>
      </c>
      <c r="AT57" s="75"/>
      <c r="AU57" s="75"/>
      <c r="AV57" s="75"/>
      <c r="AW57" s="75"/>
      <c r="AX57" s="100" t="str">
        <f t="shared" si="7"/>
        <v/>
      </c>
      <c r="AY57" s="100"/>
      <c r="AZ57" s="100"/>
      <c r="BA57" s="100"/>
      <c r="BB57" s="100"/>
    </row>
    <row r="58" spans="28:54" ht="16.5" customHeight="1">
      <c r="AB58" s="92"/>
      <c r="AC58" s="93"/>
      <c r="AD58" s="93"/>
      <c r="AE58" s="93"/>
      <c r="AF58" s="93"/>
      <c r="AG58" s="93"/>
      <c r="AH58" s="93"/>
      <c r="AI58" s="93"/>
      <c r="AJ58" s="94"/>
      <c r="AK58" s="95"/>
      <c r="AL58" s="96"/>
      <c r="AM58" s="96"/>
      <c r="AN58" s="28" t="s">
        <v>94</v>
      </c>
      <c r="AO58" s="97"/>
      <c r="AP58" s="98"/>
      <c r="AQ58" s="98"/>
      <c r="AR58" s="99"/>
      <c r="AS58" s="75" t="str">
        <f t="shared" si="6"/>
        <v/>
      </c>
      <c r="AT58" s="75"/>
      <c r="AU58" s="75"/>
      <c r="AV58" s="75"/>
      <c r="AW58" s="75"/>
      <c r="AX58" s="100" t="str">
        <f t="shared" si="7"/>
        <v/>
      </c>
      <c r="AY58" s="100"/>
      <c r="AZ58" s="100"/>
      <c r="BA58" s="100"/>
      <c r="BB58" s="100"/>
    </row>
    <row r="59" spans="28:54" ht="16.5" customHeight="1">
      <c r="AB59" s="92"/>
      <c r="AC59" s="93"/>
      <c r="AD59" s="93"/>
      <c r="AE59" s="93"/>
      <c r="AF59" s="93"/>
      <c r="AG59" s="93"/>
      <c r="AH59" s="93"/>
      <c r="AI59" s="93"/>
      <c r="AJ59" s="94"/>
      <c r="AK59" s="95"/>
      <c r="AL59" s="96"/>
      <c r="AM59" s="96"/>
      <c r="AN59" s="28" t="s">
        <v>89</v>
      </c>
      <c r="AO59" s="97"/>
      <c r="AP59" s="98"/>
      <c r="AQ59" s="98"/>
      <c r="AR59" s="99"/>
      <c r="AS59" s="75" t="str">
        <f t="shared" si="6"/>
        <v/>
      </c>
      <c r="AT59" s="75"/>
      <c r="AU59" s="75"/>
      <c r="AV59" s="75"/>
      <c r="AW59" s="75"/>
      <c r="AX59" s="100" t="str">
        <f t="shared" si="7"/>
        <v/>
      </c>
      <c r="AY59" s="100"/>
      <c r="AZ59" s="100"/>
      <c r="BA59" s="100"/>
      <c r="BB59" s="100"/>
    </row>
    <row r="60" spans="28:54" ht="16.5" customHeight="1">
      <c r="AB60" s="92"/>
      <c r="AC60" s="93"/>
      <c r="AD60" s="93"/>
      <c r="AE60" s="93"/>
      <c r="AF60" s="93"/>
      <c r="AG60" s="93"/>
      <c r="AH60" s="93"/>
      <c r="AI60" s="93"/>
      <c r="AJ60" s="94"/>
      <c r="AK60" s="95"/>
      <c r="AL60" s="96"/>
      <c r="AM60" s="96"/>
      <c r="AN60" s="28" t="s">
        <v>89</v>
      </c>
      <c r="AO60" s="97"/>
      <c r="AP60" s="98"/>
      <c r="AQ60" s="98"/>
      <c r="AR60" s="99"/>
      <c r="AS60" s="75" t="str">
        <f t="shared" si="6"/>
        <v/>
      </c>
      <c r="AT60" s="75"/>
      <c r="AU60" s="75"/>
      <c r="AV60" s="75"/>
      <c r="AW60" s="75"/>
      <c r="AX60" s="100" t="str">
        <f t="shared" si="7"/>
        <v/>
      </c>
      <c r="AY60" s="100"/>
      <c r="AZ60" s="100"/>
      <c r="BA60" s="100"/>
      <c r="BB60" s="100"/>
    </row>
    <row r="61" spans="28:54" ht="16.5" customHeight="1">
      <c r="AB61" s="92"/>
      <c r="AC61" s="93"/>
      <c r="AD61" s="93"/>
      <c r="AE61" s="93"/>
      <c r="AF61" s="93"/>
      <c r="AG61" s="93"/>
      <c r="AH61" s="93"/>
      <c r="AI61" s="93"/>
      <c r="AJ61" s="94"/>
      <c r="AK61" s="95"/>
      <c r="AL61" s="96"/>
      <c r="AM61" s="96"/>
      <c r="AN61" s="28" t="s">
        <v>89</v>
      </c>
      <c r="AO61" s="97"/>
      <c r="AP61" s="98"/>
      <c r="AQ61" s="98"/>
      <c r="AR61" s="99"/>
      <c r="AS61" s="75" t="str">
        <f t="shared" si="6"/>
        <v/>
      </c>
      <c r="AT61" s="75"/>
      <c r="AU61" s="75"/>
      <c r="AV61" s="75"/>
      <c r="AW61" s="75"/>
      <c r="AX61" s="100" t="str">
        <f t="shared" si="7"/>
        <v/>
      </c>
      <c r="AY61" s="100"/>
      <c r="AZ61" s="100"/>
      <c r="BA61" s="100"/>
      <c r="BB61" s="100"/>
    </row>
    <row r="62" spans="28:54" ht="16.5" customHeight="1">
      <c r="AB62" s="92"/>
      <c r="AC62" s="93"/>
      <c r="AD62" s="93"/>
      <c r="AE62" s="93"/>
      <c r="AF62" s="93"/>
      <c r="AG62" s="93"/>
      <c r="AH62" s="93"/>
      <c r="AI62" s="93"/>
      <c r="AJ62" s="94"/>
      <c r="AK62" s="95"/>
      <c r="AL62" s="96"/>
      <c r="AM62" s="96"/>
      <c r="AN62" s="28" t="s">
        <v>93</v>
      </c>
      <c r="AO62" s="97"/>
      <c r="AP62" s="98"/>
      <c r="AQ62" s="98"/>
      <c r="AR62" s="99"/>
      <c r="AS62" s="75" t="str">
        <f t="shared" si="6"/>
        <v/>
      </c>
      <c r="AT62" s="75"/>
      <c r="AU62" s="75"/>
      <c r="AV62" s="75"/>
      <c r="AW62" s="75"/>
      <c r="AX62" s="100" t="str">
        <f t="shared" si="7"/>
        <v/>
      </c>
      <c r="AY62" s="100"/>
      <c r="AZ62" s="100"/>
      <c r="BA62" s="100"/>
      <c r="BB62" s="100"/>
    </row>
    <row r="63" spans="28:54" ht="16.5" customHeight="1">
      <c r="AB63" s="92"/>
      <c r="AC63" s="93"/>
      <c r="AD63" s="93"/>
      <c r="AE63" s="93"/>
      <c r="AF63" s="93"/>
      <c r="AG63" s="93"/>
      <c r="AH63" s="93"/>
      <c r="AI63" s="93"/>
      <c r="AJ63" s="94"/>
      <c r="AK63" s="95"/>
      <c r="AL63" s="96"/>
      <c r="AM63" s="96"/>
      <c r="AN63" s="28" t="s">
        <v>93</v>
      </c>
      <c r="AO63" s="97"/>
      <c r="AP63" s="98"/>
      <c r="AQ63" s="98"/>
      <c r="AR63" s="99"/>
      <c r="AS63" s="75" t="str">
        <f t="shared" si="6"/>
        <v/>
      </c>
      <c r="AT63" s="75"/>
      <c r="AU63" s="75"/>
      <c r="AV63" s="75"/>
      <c r="AW63" s="75"/>
      <c r="AX63" s="100" t="str">
        <f t="shared" si="7"/>
        <v/>
      </c>
      <c r="AY63" s="100"/>
      <c r="AZ63" s="100"/>
      <c r="BA63" s="100"/>
      <c r="BB63" s="100"/>
    </row>
    <row r="64" spans="28:54" ht="16.5" customHeight="1">
      <c r="AB64" s="92"/>
      <c r="AC64" s="93"/>
      <c r="AD64" s="93"/>
      <c r="AE64" s="93"/>
      <c r="AF64" s="93"/>
      <c r="AG64" s="93"/>
      <c r="AH64" s="93"/>
      <c r="AI64" s="93"/>
      <c r="AJ64" s="94"/>
      <c r="AK64" s="95"/>
      <c r="AL64" s="96"/>
      <c r="AM64" s="96"/>
      <c r="AN64" s="28" t="s">
        <v>89</v>
      </c>
      <c r="AO64" s="97"/>
      <c r="AP64" s="98"/>
      <c r="AQ64" s="98"/>
      <c r="AR64" s="99"/>
      <c r="AS64" s="75" t="str">
        <f t="shared" si="6"/>
        <v/>
      </c>
      <c r="AT64" s="75"/>
      <c r="AU64" s="75"/>
      <c r="AV64" s="75"/>
      <c r="AW64" s="75"/>
      <c r="AX64" s="100" t="str">
        <f t="shared" si="7"/>
        <v/>
      </c>
      <c r="AY64" s="100"/>
      <c r="AZ64" s="100"/>
      <c r="BA64" s="100"/>
      <c r="BB64" s="100"/>
    </row>
    <row r="65" spans="28:54" ht="16.5" customHeight="1">
      <c r="AB65" s="92"/>
      <c r="AC65" s="93"/>
      <c r="AD65" s="93"/>
      <c r="AE65" s="93"/>
      <c r="AF65" s="93"/>
      <c r="AG65" s="93"/>
      <c r="AH65" s="93"/>
      <c r="AI65" s="93"/>
      <c r="AJ65" s="94"/>
      <c r="AK65" s="95"/>
      <c r="AL65" s="96"/>
      <c r="AM65" s="96"/>
      <c r="AN65" s="28" t="s">
        <v>89</v>
      </c>
      <c r="AO65" s="97"/>
      <c r="AP65" s="98"/>
      <c r="AQ65" s="98"/>
      <c r="AR65" s="99"/>
      <c r="AS65" s="75" t="str">
        <f t="shared" si="6"/>
        <v/>
      </c>
      <c r="AT65" s="75"/>
      <c r="AU65" s="75"/>
      <c r="AV65" s="75"/>
      <c r="AW65" s="75"/>
      <c r="AX65" s="100" t="str">
        <f t="shared" si="7"/>
        <v/>
      </c>
      <c r="AY65" s="100"/>
      <c r="AZ65" s="100"/>
      <c r="BA65" s="100"/>
      <c r="BB65" s="100"/>
    </row>
    <row r="66" spans="28:54" ht="16.5" customHeight="1">
      <c r="AB66" s="81" t="s">
        <v>40</v>
      </c>
      <c r="AC66" s="82"/>
      <c r="AD66" s="82"/>
      <c r="AE66" s="82"/>
      <c r="AF66" s="82"/>
      <c r="AG66" s="82"/>
      <c r="AH66" s="82"/>
      <c r="AI66" s="82"/>
      <c r="AJ66" s="83"/>
      <c r="AK66" s="86"/>
      <c r="AL66" s="87"/>
      <c r="AM66" s="87"/>
      <c r="AN66" s="14"/>
      <c r="AO66" s="88"/>
      <c r="AP66" s="89"/>
      <c r="AQ66" s="89"/>
      <c r="AR66" s="90"/>
      <c r="AS66" s="75">
        <f>SUM(AS56:AW65)</f>
        <v>0</v>
      </c>
      <c r="AT66" s="75"/>
      <c r="AU66" s="75"/>
      <c r="AV66" s="75"/>
      <c r="AW66" s="75"/>
      <c r="AX66" s="91">
        <f>SUM(AX56:BB65)</f>
        <v>0</v>
      </c>
      <c r="AY66" s="91"/>
      <c r="AZ66" s="91"/>
      <c r="BA66" s="91"/>
      <c r="BB66" s="91"/>
    </row>
    <row r="68" spans="28:54" ht="16.5" customHeight="1">
      <c r="AB68" s="1" t="s">
        <v>95</v>
      </c>
    </row>
    <row r="69" spans="28:54" ht="16.5" customHeight="1">
      <c r="AB69" s="73" t="s">
        <v>96</v>
      </c>
      <c r="AC69" s="73"/>
      <c r="AD69" s="73"/>
      <c r="AE69" s="73"/>
      <c r="AF69" s="73"/>
      <c r="AG69" s="73"/>
      <c r="AH69" s="73"/>
      <c r="AI69" s="80" t="s">
        <v>97</v>
      </c>
      <c r="AJ69" s="80"/>
      <c r="AK69" s="80"/>
      <c r="AL69" s="80" t="s">
        <v>98</v>
      </c>
      <c r="AM69" s="80"/>
      <c r="AN69" s="80"/>
      <c r="AO69" s="73" t="s">
        <v>14</v>
      </c>
      <c r="AP69" s="73"/>
      <c r="AQ69" s="73"/>
      <c r="AR69" s="73"/>
      <c r="AS69" s="73" t="s">
        <v>15</v>
      </c>
      <c r="AT69" s="73"/>
      <c r="AU69" s="73"/>
      <c r="AV69" s="73"/>
    </row>
    <row r="70" spans="28:54" ht="16.5" customHeight="1">
      <c r="AB70" s="73" t="str">
        <f>AB56</f>
        <v>B 熱風乾燥機</v>
      </c>
      <c r="AC70" s="73"/>
      <c r="AD70" s="73"/>
      <c r="AE70" s="73"/>
      <c r="AF70" s="73"/>
      <c r="AG70" s="73"/>
      <c r="AH70" s="73"/>
      <c r="AI70" s="84">
        <f>AK56/60</f>
        <v>0</v>
      </c>
      <c r="AJ70" s="84"/>
      <c r="AK70" s="84"/>
      <c r="AL70" s="75">
        <v>2126</v>
      </c>
      <c r="AM70" s="75"/>
      <c r="AN70" s="75"/>
      <c r="AO70" s="75">
        <f>AI70*AL70</f>
        <v>0</v>
      </c>
      <c r="AP70" s="75"/>
      <c r="AQ70" s="75"/>
      <c r="AR70" s="75"/>
      <c r="AS70" s="75">
        <f>IF($AR$2=0,0,AO70/$AR$2)</f>
        <v>0</v>
      </c>
      <c r="AT70" s="75"/>
      <c r="AU70" s="75"/>
      <c r="AV70" s="75"/>
    </row>
    <row r="71" spans="28:54" ht="16.5" customHeight="1">
      <c r="AB71" s="85" t="s">
        <v>99</v>
      </c>
      <c r="AC71" s="85"/>
      <c r="AD71" s="85"/>
      <c r="AE71" s="85"/>
      <c r="AF71" s="85"/>
      <c r="AG71" s="85"/>
      <c r="AH71" s="85"/>
      <c r="AI71" s="84">
        <f>AI57*AK57/60</f>
        <v>0</v>
      </c>
      <c r="AJ71" s="84"/>
      <c r="AK71" s="84"/>
      <c r="AL71" s="78">
        <v>39</v>
      </c>
      <c r="AM71" s="78"/>
      <c r="AN71" s="78"/>
      <c r="AO71" s="75">
        <f>AI71*AL71</f>
        <v>0</v>
      </c>
      <c r="AP71" s="75"/>
      <c r="AQ71" s="75"/>
      <c r="AR71" s="75"/>
      <c r="AS71" s="75">
        <f>IF($AR$2=0,0,AO71/$AR$2)</f>
        <v>0</v>
      </c>
      <c r="AT71" s="75"/>
      <c r="AU71" s="75"/>
      <c r="AV71" s="75"/>
    </row>
    <row r="72" spans="28:54" ht="16.5" customHeight="1">
      <c r="AB72" s="73" t="s">
        <v>100</v>
      </c>
      <c r="AC72" s="73"/>
      <c r="AD72" s="73"/>
      <c r="AE72" s="73"/>
      <c r="AF72" s="73"/>
      <c r="AG72" s="73"/>
      <c r="AH72" s="73"/>
      <c r="AI72" s="79"/>
      <c r="AJ72" s="79"/>
      <c r="AK72" s="79"/>
      <c r="AL72" s="75"/>
      <c r="AM72" s="75"/>
      <c r="AN72" s="75"/>
      <c r="AO72" s="75">
        <f>AI72*AL72</f>
        <v>0</v>
      </c>
      <c r="AP72" s="75"/>
      <c r="AQ72" s="75"/>
      <c r="AR72" s="75"/>
      <c r="AS72" s="75">
        <f>SUM(AS70:AV71)</f>
        <v>0</v>
      </c>
      <c r="AT72" s="75"/>
      <c r="AU72" s="75"/>
      <c r="AV72" s="75"/>
    </row>
    <row r="74" spans="28:54" ht="16.5" customHeight="1">
      <c r="AB74" s="1" t="s">
        <v>101</v>
      </c>
    </row>
    <row r="75" spans="28:54" ht="16.5" customHeight="1">
      <c r="AB75" s="73" t="s">
        <v>102</v>
      </c>
      <c r="AC75" s="73"/>
      <c r="AD75" s="73"/>
      <c r="AE75" s="73"/>
      <c r="AF75" s="73"/>
      <c r="AG75" s="73"/>
      <c r="AH75" s="73"/>
      <c r="AI75" s="73" t="s">
        <v>103</v>
      </c>
      <c r="AJ75" s="73"/>
      <c r="AK75" s="73"/>
      <c r="AL75" s="80" t="s">
        <v>104</v>
      </c>
      <c r="AM75" s="80"/>
      <c r="AN75" s="80"/>
      <c r="AO75" s="73" t="s">
        <v>105</v>
      </c>
      <c r="AP75" s="73"/>
      <c r="AQ75" s="73"/>
      <c r="AR75" s="73"/>
      <c r="AS75" s="81" t="s">
        <v>106</v>
      </c>
      <c r="AT75" s="82"/>
      <c r="AU75" s="82"/>
      <c r="AV75" s="83"/>
    </row>
    <row r="76" spans="28:54" ht="16.5" customHeight="1">
      <c r="AB76" s="73" t="s">
        <v>107</v>
      </c>
      <c r="AC76" s="73"/>
      <c r="AD76" s="73"/>
      <c r="AE76" s="73"/>
      <c r="AF76" s="73"/>
      <c r="AG76" s="73"/>
      <c r="AH76" s="73"/>
      <c r="AI76" s="77">
        <f>AI57*AK57/60</f>
        <v>0</v>
      </c>
      <c r="AJ76" s="77"/>
      <c r="AK76" s="77"/>
      <c r="AL76" s="78">
        <v>4</v>
      </c>
      <c r="AM76" s="78"/>
      <c r="AN76" s="78"/>
      <c r="AO76" s="75">
        <f>AI76*AL76</f>
        <v>0</v>
      </c>
      <c r="AP76" s="75"/>
      <c r="AQ76" s="75"/>
      <c r="AR76" s="75"/>
      <c r="AS76" s="76">
        <f>ROUND(IF($AR$2=0,0,AO76/$AR$2),0)</f>
        <v>0</v>
      </c>
      <c r="AT76" s="76"/>
      <c r="AU76" s="76"/>
      <c r="AV76" s="76"/>
    </row>
    <row r="77" spans="28:54" ht="16.5" customHeight="1">
      <c r="AB77" s="73" t="s">
        <v>108</v>
      </c>
      <c r="AC77" s="73"/>
      <c r="AD77" s="73"/>
      <c r="AE77" s="73"/>
      <c r="AF77" s="73"/>
      <c r="AG77" s="73"/>
      <c r="AH77" s="73"/>
      <c r="AI77" s="77">
        <f>AK56/60</f>
        <v>0</v>
      </c>
      <c r="AJ77" s="77"/>
      <c r="AK77" s="77"/>
      <c r="AL77" s="75">
        <v>520</v>
      </c>
      <c r="AM77" s="75"/>
      <c r="AN77" s="75"/>
      <c r="AO77" s="75">
        <f>AI77*AL77</f>
        <v>0</v>
      </c>
      <c r="AP77" s="75"/>
      <c r="AQ77" s="75"/>
      <c r="AR77" s="75"/>
      <c r="AS77" s="76">
        <f>ROUND(IF($AR$2=0,0,AO77/$AR$2),0)</f>
        <v>0</v>
      </c>
      <c r="AT77" s="76"/>
      <c r="AU77" s="76"/>
      <c r="AV77" s="76"/>
    </row>
    <row r="78" spans="28:54" ht="16.5" customHeight="1">
      <c r="AB78" s="73" t="s">
        <v>109</v>
      </c>
      <c r="AC78" s="73"/>
      <c r="AD78" s="73"/>
      <c r="AE78" s="73"/>
      <c r="AF78" s="73"/>
      <c r="AG78" s="73"/>
      <c r="AH78" s="73"/>
      <c r="AI78" s="74">
        <f>AO28/60</f>
        <v>0</v>
      </c>
      <c r="AJ78" s="74"/>
      <c r="AK78" s="74"/>
      <c r="AL78" s="75">
        <v>4413</v>
      </c>
      <c r="AM78" s="75"/>
      <c r="AN78" s="75"/>
      <c r="AO78" s="75">
        <f>AI78*AL78</f>
        <v>0</v>
      </c>
      <c r="AP78" s="75"/>
      <c r="AQ78" s="75"/>
      <c r="AR78" s="75"/>
      <c r="AS78" s="76">
        <f>ROUND(IF($AR$2=0,0,AO78/$AR$2),0)</f>
        <v>0</v>
      </c>
      <c r="AT78" s="76"/>
      <c r="AU78" s="76"/>
      <c r="AV78" s="76"/>
    </row>
    <row r="79" spans="28:54" ht="16.5" customHeight="1">
      <c r="AB79" s="73" t="s">
        <v>100</v>
      </c>
      <c r="AC79" s="73"/>
      <c r="AD79" s="73"/>
      <c r="AE79" s="73"/>
      <c r="AF79" s="73"/>
      <c r="AG79" s="73"/>
      <c r="AH79" s="73"/>
      <c r="AI79" s="76"/>
      <c r="AJ79" s="76"/>
      <c r="AK79" s="76"/>
      <c r="AL79" s="76"/>
      <c r="AM79" s="76"/>
      <c r="AN79" s="76"/>
      <c r="AO79" s="75">
        <f>SUM(AO76:AR78)</f>
        <v>0</v>
      </c>
      <c r="AP79" s="75"/>
      <c r="AQ79" s="75"/>
      <c r="AR79" s="75"/>
      <c r="AS79" s="76">
        <f>SUM(AS76:AV78)</f>
        <v>0</v>
      </c>
      <c r="AT79" s="76"/>
      <c r="AU79" s="76"/>
      <c r="AV79" s="76"/>
    </row>
    <row r="82" spans="28:54" ht="16.5" customHeight="1">
      <c r="AB82" s="43" t="s">
        <v>110</v>
      </c>
      <c r="AC82" s="43"/>
      <c r="AD82" s="43"/>
      <c r="AE82" s="43"/>
      <c r="AF82" s="44"/>
      <c r="AG82" s="44"/>
      <c r="AH82" s="44"/>
      <c r="AI82" s="44"/>
      <c r="AJ82" s="44"/>
      <c r="AK82" s="45"/>
      <c r="AL82" s="45"/>
      <c r="AM82" s="44"/>
      <c r="AN82" s="44"/>
      <c r="AO82" s="46"/>
      <c r="AP82" s="46"/>
      <c r="AQ82" s="46"/>
      <c r="AR82" s="47"/>
      <c r="AS82" s="48"/>
      <c r="AT82" s="48"/>
      <c r="AU82" s="49"/>
      <c r="AV82" s="49"/>
      <c r="AW82" s="49"/>
      <c r="AX82" s="49"/>
      <c r="AY82" s="49"/>
      <c r="AZ82" s="50"/>
      <c r="BA82" s="50"/>
      <c r="BB82" s="51"/>
    </row>
    <row r="83" spans="28:54" ht="16.5" customHeight="1">
      <c r="AB83" s="69" t="s">
        <v>111</v>
      </c>
      <c r="AC83" s="69"/>
      <c r="AD83" s="69"/>
      <c r="AE83" s="69"/>
      <c r="AF83" s="69"/>
      <c r="AG83" s="69"/>
      <c r="AH83" s="69"/>
      <c r="AI83" s="69"/>
      <c r="AJ83" s="69"/>
      <c r="AK83" s="71" t="s">
        <v>82</v>
      </c>
      <c r="AL83" s="71"/>
      <c r="AM83" s="71"/>
      <c r="AN83" s="71"/>
      <c r="AO83" s="69" t="s">
        <v>112</v>
      </c>
      <c r="AP83" s="69"/>
      <c r="AQ83" s="69"/>
      <c r="AR83" s="69"/>
      <c r="AS83" s="72" t="s">
        <v>14</v>
      </c>
      <c r="AT83" s="72"/>
      <c r="AU83" s="72"/>
      <c r="AV83" s="72"/>
      <c r="AW83" s="72"/>
      <c r="AX83" s="69" t="s">
        <v>106</v>
      </c>
      <c r="AY83" s="69"/>
      <c r="AZ83" s="69"/>
      <c r="BA83" s="69"/>
      <c r="BB83" s="69"/>
    </row>
    <row r="84" spans="28:54" ht="16.5" customHeight="1">
      <c r="AB84" s="54"/>
      <c r="AC84" s="55"/>
      <c r="AD84" s="55"/>
      <c r="AE84" s="55"/>
      <c r="AF84" s="55"/>
      <c r="AG84" s="55"/>
      <c r="AH84" s="55"/>
      <c r="AI84" s="55"/>
      <c r="AJ84" s="56"/>
      <c r="AK84" s="57"/>
      <c r="AL84" s="58"/>
      <c r="AM84" s="58"/>
      <c r="AN84" s="52"/>
      <c r="AO84" s="59"/>
      <c r="AP84" s="60"/>
      <c r="AQ84" s="60"/>
      <c r="AR84" s="61"/>
      <c r="AS84" s="62" t="str">
        <f>IF(AK84="","",AO84*AK84)</f>
        <v/>
      </c>
      <c r="AT84" s="62"/>
      <c r="AU84" s="62"/>
      <c r="AV84" s="62"/>
      <c r="AW84" s="62"/>
      <c r="AX84" s="63" t="str">
        <f>IF(AS84="","",AS84/$AR$2)</f>
        <v/>
      </c>
      <c r="AY84" s="63"/>
      <c r="AZ84" s="63"/>
      <c r="BA84" s="63"/>
      <c r="BB84" s="63"/>
    </row>
    <row r="85" spans="28:54" ht="16.5" customHeight="1">
      <c r="AB85" s="54"/>
      <c r="AC85" s="55"/>
      <c r="AD85" s="55"/>
      <c r="AE85" s="55"/>
      <c r="AF85" s="55"/>
      <c r="AG85" s="55"/>
      <c r="AH85" s="55"/>
      <c r="AI85" s="55"/>
      <c r="AJ85" s="56"/>
      <c r="AK85" s="57"/>
      <c r="AL85" s="58"/>
      <c r="AM85" s="58"/>
      <c r="AN85" s="52"/>
      <c r="AO85" s="59"/>
      <c r="AP85" s="60"/>
      <c r="AQ85" s="60"/>
      <c r="AR85" s="61"/>
      <c r="AS85" s="62" t="str">
        <f>IF(AK85="","",AO85*AK85)</f>
        <v/>
      </c>
      <c r="AT85" s="62"/>
      <c r="AU85" s="62"/>
      <c r="AV85" s="62"/>
      <c r="AW85" s="62"/>
      <c r="AX85" s="63" t="str">
        <f>IF(AS85="","",AS85/$AR$2)</f>
        <v/>
      </c>
      <c r="AY85" s="63"/>
      <c r="AZ85" s="63"/>
      <c r="BA85" s="63"/>
      <c r="BB85" s="63"/>
    </row>
    <row r="86" spans="28:54" ht="16.5" customHeight="1">
      <c r="AB86" s="64" t="s">
        <v>113</v>
      </c>
      <c r="AC86" s="65"/>
      <c r="AD86" s="65"/>
      <c r="AE86" s="65"/>
      <c r="AF86" s="65"/>
      <c r="AG86" s="65"/>
      <c r="AH86" s="65"/>
      <c r="AI86" s="65"/>
      <c r="AJ86" s="66"/>
      <c r="AK86" s="67"/>
      <c r="AL86" s="68"/>
      <c r="AM86" s="68"/>
      <c r="AN86" s="53"/>
      <c r="AO86" s="69"/>
      <c r="AP86" s="69"/>
      <c r="AQ86" s="69"/>
      <c r="AR86" s="69"/>
      <c r="AS86" s="62">
        <f>SUM(AS84:AW85)</f>
        <v>0</v>
      </c>
      <c r="AT86" s="62"/>
      <c r="AU86" s="62"/>
      <c r="AV86" s="62"/>
      <c r="AW86" s="62"/>
      <c r="AX86" s="70">
        <f>SUM(AX84:BB85)</f>
        <v>0</v>
      </c>
      <c r="AY86" s="70"/>
      <c r="AZ86" s="70"/>
      <c r="BA86" s="70"/>
      <c r="BB86" s="70"/>
    </row>
    <row r="87" spans="28:54" ht="16.5" customHeight="1">
      <c r="AK87" s="3"/>
    </row>
  </sheetData>
  <mergeCells count="501">
    <mergeCell ref="AH2:AM2"/>
    <mergeCell ref="AN2:AQ2"/>
    <mergeCell ref="AR2:AS2"/>
    <mergeCell ref="AU2:AY2"/>
    <mergeCell ref="AZ2:BA2"/>
    <mergeCell ref="B3:D3"/>
    <mergeCell ref="E3:H3"/>
    <mergeCell ref="I3:K3"/>
    <mergeCell ref="L3:O3"/>
    <mergeCell ref="P3:R3"/>
    <mergeCell ref="B2:D2"/>
    <mergeCell ref="E2:O2"/>
    <mergeCell ref="P2:R2"/>
    <mergeCell ref="S2:Z2"/>
    <mergeCell ref="AB2:AE2"/>
    <mergeCell ref="AF2:AG2"/>
    <mergeCell ref="AZ3:BB3"/>
    <mergeCell ref="AB4:AH4"/>
    <mergeCell ref="AI4:AK4"/>
    <mergeCell ref="AM4:AO4"/>
    <mergeCell ref="AP4:AT4"/>
    <mergeCell ref="AU4:AY4"/>
    <mergeCell ref="AZ4:BB4"/>
    <mergeCell ref="S3:Z3"/>
    <mergeCell ref="AB3:AH3"/>
    <mergeCell ref="AI3:AL3"/>
    <mergeCell ref="AM3:AO3"/>
    <mergeCell ref="AP3:AT3"/>
    <mergeCell ref="AU3:AY3"/>
    <mergeCell ref="AU5:AY5"/>
    <mergeCell ref="AZ5:BB5"/>
    <mergeCell ref="B6:F6"/>
    <mergeCell ref="G6:M6"/>
    <mergeCell ref="N6:O6"/>
    <mergeCell ref="P6:Z6"/>
    <mergeCell ref="AB6:AH6"/>
    <mergeCell ref="AI6:AK6"/>
    <mergeCell ref="B5:D5"/>
    <mergeCell ref="Q5:R5"/>
    <mergeCell ref="U5:W5"/>
    <mergeCell ref="X5:Y5"/>
    <mergeCell ref="AB5:AH5"/>
    <mergeCell ref="AI5:AK5"/>
    <mergeCell ref="AM6:AO6"/>
    <mergeCell ref="AP6:AT6"/>
    <mergeCell ref="AU6:AY6"/>
    <mergeCell ref="AZ6:BB6"/>
    <mergeCell ref="B9:F9"/>
    <mergeCell ref="G9:K9"/>
    <mergeCell ref="L9:M9"/>
    <mergeCell ref="N9:O9"/>
    <mergeCell ref="P9:Z9"/>
    <mergeCell ref="AB9:AH9"/>
    <mergeCell ref="AI9:AK9"/>
    <mergeCell ref="AM5:AO5"/>
    <mergeCell ref="AP5:AT5"/>
    <mergeCell ref="AM7:AO7"/>
    <mergeCell ref="AP7:AT7"/>
    <mergeCell ref="AU7:AY7"/>
    <mergeCell ref="AZ7:BB7"/>
    <mergeCell ref="B8:F8"/>
    <mergeCell ref="G8:K8"/>
    <mergeCell ref="L8:M8"/>
    <mergeCell ref="N8:O8"/>
    <mergeCell ref="P8:Z8"/>
    <mergeCell ref="AB8:AH8"/>
    <mergeCell ref="B7:F7"/>
    <mergeCell ref="G7:K7"/>
    <mergeCell ref="L7:M7"/>
    <mergeCell ref="N7:O7"/>
    <mergeCell ref="AB7:AH7"/>
    <mergeCell ref="AI7:AK7"/>
    <mergeCell ref="AM9:AO9"/>
    <mergeCell ref="AP9:AT9"/>
    <mergeCell ref="AU9:AY9"/>
    <mergeCell ref="AZ9:BB9"/>
    <mergeCell ref="AI8:AK8"/>
    <mergeCell ref="AM8:AO8"/>
    <mergeCell ref="AP8:AT8"/>
    <mergeCell ref="AU8:AY8"/>
    <mergeCell ref="AZ8:BB8"/>
    <mergeCell ref="B11:F11"/>
    <mergeCell ref="G11:K11"/>
    <mergeCell ref="L11:M11"/>
    <mergeCell ref="N11:O11"/>
    <mergeCell ref="P11:Z11"/>
    <mergeCell ref="B10:F10"/>
    <mergeCell ref="G10:K10"/>
    <mergeCell ref="L10:M10"/>
    <mergeCell ref="N10:O10"/>
    <mergeCell ref="P10:Z10"/>
    <mergeCell ref="AB11:AH11"/>
    <mergeCell ref="AI11:AK11"/>
    <mergeCell ref="AM11:AO11"/>
    <mergeCell ref="AP11:AT11"/>
    <mergeCell ref="AU11:AY11"/>
    <mergeCell ref="AZ11:BB11"/>
    <mergeCell ref="AI10:AK10"/>
    <mergeCell ref="AM10:AO10"/>
    <mergeCell ref="AP10:AT10"/>
    <mergeCell ref="AU10:AY10"/>
    <mergeCell ref="AZ10:BB10"/>
    <mergeCell ref="AB10:AH10"/>
    <mergeCell ref="B13:F13"/>
    <mergeCell ref="G13:K13"/>
    <mergeCell ref="L13:M13"/>
    <mergeCell ref="N13:O13"/>
    <mergeCell ref="P13:Z13"/>
    <mergeCell ref="B12:F12"/>
    <mergeCell ref="G12:K12"/>
    <mergeCell ref="L12:M12"/>
    <mergeCell ref="N12:O12"/>
    <mergeCell ref="P12:Z12"/>
    <mergeCell ref="AB13:AH13"/>
    <mergeCell ref="AI13:AK13"/>
    <mergeCell ref="AM13:AO13"/>
    <mergeCell ref="AP13:AT13"/>
    <mergeCell ref="AU13:AY13"/>
    <mergeCell ref="AZ13:BB13"/>
    <mergeCell ref="AI12:AK12"/>
    <mergeCell ref="AM12:AO12"/>
    <mergeCell ref="AP12:AT12"/>
    <mergeCell ref="AU12:AY12"/>
    <mergeCell ref="AZ12:BB12"/>
    <mergeCell ref="AB12:AH12"/>
    <mergeCell ref="B15:F15"/>
    <mergeCell ref="G15:K15"/>
    <mergeCell ref="L15:M15"/>
    <mergeCell ref="N15:O15"/>
    <mergeCell ref="P15:Z15"/>
    <mergeCell ref="B14:F14"/>
    <mergeCell ref="G14:K14"/>
    <mergeCell ref="L14:M14"/>
    <mergeCell ref="N14:O14"/>
    <mergeCell ref="P14:Z14"/>
    <mergeCell ref="AB15:AH15"/>
    <mergeCell ref="AI15:AK15"/>
    <mergeCell ref="AM15:AO15"/>
    <mergeCell ref="AP15:AT15"/>
    <mergeCell ref="AU15:AY15"/>
    <mergeCell ref="AZ15:BB15"/>
    <mergeCell ref="AI14:AK14"/>
    <mergeCell ref="AM14:AO14"/>
    <mergeCell ref="AP14:AT14"/>
    <mergeCell ref="AU14:AY14"/>
    <mergeCell ref="AZ14:BB14"/>
    <mergeCell ref="AB14:AH14"/>
    <mergeCell ref="AU16:AY16"/>
    <mergeCell ref="AZ16:BB16"/>
    <mergeCell ref="B17:F17"/>
    <mergeCell ref="G17:K17"/>
    <mergeCell ref="L17:M17"/>
    <mergeCell ref="N17:O17"/>
    <mergeCell ref="P17:Z17"/>
    <mergeCell ref="B16:F16"/>
    <mergeCell ref="G16:K16"/>
    <mergeCell ref="L16:M16"/>
    <mergeCell ref="N16:O16"/>
    <mergeCell ref="P16:Z16"/>
    <mergeCell ref="AB16:AH16"/>
    <mergeCell ref="B18:F18"/>
    <mergeCell ref="G18:K18"/>
    <mergeCell ref="L18:M18"/>
    <mergeCell ref="N18:O18"/>
    <mergeCell ref="P18:Z18"/>
    <mergeCell ref="AB18:AE18"/>
    <mergeCell ref="AI16:AK16"/>
    <mergeCell ref="AM16:AO16"/>
    <mergeCell ref="AP16:AT16"/>
    <mergeCell ref="B20:F20"/>
    <mergeCell ref="G20:K20"/>
    <mergeCell ref="L20:M20"/>
    <mergeCell ref="N20:O20"/>
    <mergeCell ref="P20:Z20"/>
    <mergeCell ref="B19:F19"/>
    <mergeCell ref="G19:K19"/>
    <mergeCell ref="L19:M19"/>
    <mergeCell ref="N19:O19"/>
    <mergeCell ref="P19:Z19"/>
    <mergeCell ref="AB20:AH20"/>
    <mergeCell ref="AI20:AK20"/>
    <mergeCell ref="AL20:AN20"/>
    <mergeCell ref="AP20:AT20"/>
    <mergeCell ref="AU20:AY20"/>
    <mergeCell ref="AZ20:BB20"/>
    <mergeCell ref="AI19:AK19"/>
    <mergeCell ref="AL19:AO19"/>
    <mergeCell ref="AP19:AT19"/>
    <mergeCell ref="AU19:AY19"/>
    <mergeCell ref="AZ19:BB19"/>
    <mergeCell ref="AB19:AH19"/>
    <mergeCell ref="AL21:AN21"/>
    <mergeCell ref="AP21:AT21"/>
    <mergeCell ref="AU21:AY21"/>
    <mergeCell ref="AZ21:BB21"/>
    <mergeCell ref="AB22:AH22"/>
    <mergeCell ref="AI22:AK22"/>
    <mergeCell ref="AL22:AN22"/>
    <mergeCell ref="AP22:AT22"/>
    <mergeCell ref="AU22:AY22"/>
    <mergeCell ref="AB21:AH21"/>
    <mergeCell ref="AU23:AY23"/>
    <mergeCell ref="AZ23:BB23"/>
    <mergeCell ref="B25:E25"/>
    <mergeCell ref="G25:K25"/>
    <mergeCell ref="L25:M25"/>
    <mergeCell ref="N25:O25"/>
    <mergeCell ref="P25:Z25"/>
    <mergeCell ref="AB25:AE25"/>
    <mergeCell ref="AZ22:BB22"/>
    <mergeCell ref="B23:F23"/>
    <mergeCell ref="G23:K23"/>
    <mergeCell ref="L23:M23"/>
    <mergeCell ref="N23:O23"/>
    <mergeCell ref="P23:Z23"/>
    <mergeCell ref="AB23:AH23"/>
    <mergeCell ref="AI23:AK23"/>
    <mergeCell ref="AL23:AN23"/>
    <mergeCell ref="AP23:AT23"/>
    <mergeCell ref="B21:F22"/>
    <mergeCell ref="G21:K22"/>
    <mergeCell ref="L21:M22"/>
    <mergeCell ref="N21:O22"/>
    <mergeCell ref="P21:Z22"/>
    <mergeCell ref="AI21:AK21"/>
    <mergeCell ref="AU26:AX27"/>
    <mergeCell ref="AY26:BB27"/>
    <mergeCell ref="B26:F26"/>
    <mergeCell ref="G26:K26"/>
    <mergeCell ref="L26:M26"/>
    <mergeCell ref="N26:O26"/>
    <mergeCell ref="P26:Z26"/>
    <mergeCell ref="AB26:AF27"/>
    <mergeCell ref="B27:F27"/>
    <mergeCell ref="G27:K27"/>
    <mergeCell ref="L27:M27"/>
    <mergeCell ref="N27:O27"/>
    <mergeCell ref="P27:Z27"/>
    <mergeCell ref="AG27:AH27"/>
    <mergeCell ref="AI27:AJ27"/>
    <mergeCell ref="AK27:AL27"/>
    <mergeCell ref="AM27:AN27"/>
    <mergeCell ref="B29:D29"/>
    <mergeCell ref="S29:U29"/>
    <mergeCell ref="V29:Z29"/>
    <mergeCell ref="AI29:AJ29"/>
    <mergeCell ref="AR29:AT29"/>
    <mergeCell ref="AG26:AN26"/>
    <mergeCell ref="AO26:AP27"/>
    <mergeCell ref="AQ26:AQ27"/>
    <mergeCell ref="AR26:AT27"/>
    <mergeCell ref="AB30:AF30"/>
    <mergeCell ref="AG30:AH30"/>
    <mergeCell ref="AI30:AJ30"/>
    <mergeCell ref="AK30:AL30"/>
    <mergeCell ref="AM30:AN30"/>
    <mergeCell ref="AO28:AP29"/>
    <mergeCell ref="AR28:AT28"/>
    <mergeCell ref="AU28:AX28"/>
    <mergeCell ref="AY28:BB28"/>
    <mergeCell ref="AU29:AX29"/>
    <mergeCell ref="AR31:AT31"/>
    <mergeCell ref="AU31:AX31"/>
    <mergeCell ref="AY31:BB31"/>
    <mergeCell ref="AO30:AP30"/>
    <mergeCell ref="AR30:AT30"/>
    <mergeCell ref="AU30:AX30"/>
    <mergeCell ref="AY30:BB30"/>
    <mergeCell ref="B31:F31"/>
    <mergeCell ref="G31:M31"/>
    <mergeCell ref="N31:O31"/>
    <mergeCell ref="AB31:AF31"/>
    <mergeCell ref="AG31:AH31"/>
    <mergeCell ref="AI31:AJ31"/>
    <mergeCell ref="AB28:AF29"/>
    <mergeCell ref="AG28:AH29"/>
    <mergeCell ref="AI28:AJ28"/>
    <mergeCell ref="AK28:AL29"/>
    <mergeCell ref="AM28:AN29"/>
    <mergeCell ref="AY29:BB29"/>
    <mergeCell ref="B30:F30"/>
    <mergeCell ref="G30:M30"/>
    <mergeCell ref="N30:O30"/>
    <mergeCell ref="P30:Z33"/>
    <mergeCell ref="B32:F32"/>
    <mergeCell ref="G32:M32"/>
    <mergeCell ref="N32:O32"/>
    <mergeCell ref="B33:F33"/>
    <mergeCell ref="G33:M33"/>
    <mergeCell ref="N33:O33"/>
    <mergeCell ref="AK31:AL31"/>
    <mergeCell ref="AM31:AN31"/>
    <mergeCell ref="AO31:AP31"/>
    <mergeCell ref="AX35:BB35"/>
    <mergeCell ref="AB36:AJ36"/>
    <mergeCell ref="AK36:AM36"/>
    <mergeCell ref="AO36:AR36"/>
    <mergeCell ref="AS36:AW36"/>
    <mergeCell ref="AX36:BB36"/>
    <mergeCell ref="AB33:AE33"/>
    <mergeCell ref="AB34:AE34"/>
    <mergeCell ref="AB35:AJ35"/>
    <mergeCell ref="AK35:AN35"/>
    <mergeCell ref="AO35:AR35"/>
    <mergeCell ref="AS35:AW35"/>
    <mergeCell ref="AB37:AJ37"/>
    <mergeCell ref="AK37:AM37"/>
    <mergeCell ref="AO37:AR37"/>
    <mergeCell ref="AS37:AW37"/>
    <mergeCell ref="AX37:BB37"/>
    <mergeCell ref="AB38:AJ38"/>
    <mergeCell ref="AK38:AM38"/>
    <mergeCell ref="AO38:AR38"/>
    <mergeCell ref="AS38:AW38"/>
    <mergeCell ref="AX38:BB38"/>
    <mergeCell ref="AB39:AJ39"/>
    <mergeCell ref="AK39:AM39"/>
    <mergeCell ref="AO39:AR39"/>
    <mergeCell ref="AS39:AW39"/>
    <mergeCell ref="AX39:BB39"/>
    <mergeCell ref="AB40:AJ40"/>
    <mergeCell ref="AK40:AM40"/>
    <mergeCell ref="AO40:AR40"/>
    <mergeCell ref="AS40:AW40"/>
    <mergeCell ref="AX40:BB40"/>
    <mergeCell ref="AB43:AJ43"/>
    <mergeCell ref="AK43:AN43"/>
    <mergeCell ref="AO43:AR43"/>
    <mergeCell ref="AS43:AW43"/>
    <mergeCell ref="AX43:BB43"/>
    <mergeCell ref="AB44:AJ44"/>
    <mergeCell ref="AK44:AM44"/>
    <mergeCell ref="AO44:AR44"/>
    <mergeCell ref="AS44:AW44"/>
    <mergeCell ref="AX44:BB44"/>
    <mergeCell ref="AB45:AJ45"/>
    <mergeCell ref="AK45:AM45"/>
    <mergeCell ref="AO45:AR45"/>
    <mergeCell ref="AS45:AW45"/>
    <mergeCell ref="AX45:BB45"/>
    <mergeCell ref="AB46:AJ46"/>
    <mergeCell ref="AK46:AM46"/>
    <mergeCell ref="AO46:AR46"/>
    <mergeCell ref="AS46:AW46"/>
    <mergeCell ref="AX46:BB46"/>
    <mergeCell ref="AB47:AJ47"/>
    <mergeCell ref="AK47:AM47"/>
    <mergeCell ref="AO47:AR47"/>
    <mergeCell ref="AS47:AW47"/>
    <mergeCell ref="AX47:BB47"/>
    <mergeCell ref="AB48:AJ48"/>
    <mergeCell ref="AK48:AM48"/>
    <mergeCell ref="AO48:AR48"/>
    <mergeCell ref="AS48:AW48"/>
    <mergeCell ref="AX48:BB48"/>
    <mergeCell ref="AB49:AJ49"/>
    <mergeCell ref="AK49:AM49"/>
    <mergeCell ref="AO49:AR49"/>
    <mergeCell ref="AS49:AW49"/>
    <mergeCell ref="AX49:BB49"/>
    <mergeCell ref="AB50:AJ50"/>
    <mergeCell ref="AK50:AM50"/>
    <mergeCell ref="AO50:AR50"/>
    <mergeCell ref="AS50:AW50"/>
    <mergeCell ref="AX50:BB50"/>
    <mergeCell ref="AB51:AJ51"/>
    <mergeCell ref="AK51:AM51"/>
    <mergeCell ref="AO51:AR51"/>
    <mergeCell ref="AS51:AW51"/>
    <mergeCell ref="AX51:BB51"/>
    <mergeCell ref="AB52:AJ52"/>
    <mergeCell ref="AK52:AM52"/>
    <mergeCell ref="AO52:AR52"/>
    <mergeCell ref="AS52:AW52"/>
    <mergeCell ref="AX52:BB52"/>
    <mergeCell ref="AB57:AF57"/>
    <mergeCell ref="AG57:AH57"/>
    <mergeCell ref="AK57:AM57"/>
    <mergeCell ref="AO57:AR57"/>
    <mergeCell ref="AS57:AW57"/>
    <mergeCell ref="AX57:BB57"/>
    <mergeCell ref="AB55:AJ55"/>
    <mergeCell ref="AK55:AN55"/>
    <mergeCell ref="AO55:AR55"/>
    <mergeCell ref="AS55:AW55"/>
    <mergeCell ref="AX55:BB55"/>
    <mergeCell ref="AB56:AJ56"/>
    <mergeCell ref="AK56:AM56"/>
    <mergeCell ref="AO56:AR56"/>
    <mergeCell ref="AS56:AW56"/>
    <mergeCell ref="AX56:BB56"/>
    <mergeCell ref="AB58:AJ58"/>
    <mergeCell ref="AK58:AM58"/>
    <mergeCell ref="AO58:AR58"/>
    <mergeCell ref="AS58:AW58"/>
    <mergeCell ref="AX58:BB58"/>
    <mergeCell ref="AB59:AJ59"/>
    <mergeCell ref="AK59:AM59"/>
    <mergeCell ref="AO59:AR59"/>
    <mergeCell ref="AS59:AW59"/>
    <mergeCell ref="AX59:BB59"/>
    <mergeCell ref="AB60:AJ60"/>
    <mergeCell ref="AK60:AM60"/>
    <mergeCell ref="AO60:AR60"/>
    <mergeCell ref="AS60:AW60"/>
    <mergeCell ref="AX60:BB60"/>
    <mergeCell ref="AB61:AJ61"/>
    <mergeCell ref="AK61:AM61"/>
    <mergeCell ref="AO61:AR61"/>
    <mergeCell ref="AS61:AW61"/>
    <mergeCell ref="AX61:BB61"/>
    <mergeCell ref="AB62:AJ62"/>
    <mergeCell ref="AK62:AM62"/>
    <mergeCell ref="AO62:AR62"/>
    <mergeCell ref="AS62:AW62"/>
    <mergeCell ref="AX62:BB62"/>
    <mergeCell ref="AB63:AJ63"/>
    <mergeCell ref="AK63:AM63"/>
    <mergeCell ref="AO63:AR63"/>
    <mergeCell ref="AS63:AW63"/>
    <mergeCell ref="AX63:BB63"/>
    <mergeCell ref="AB64:AJ64"/>
    <mergeCell ref="AK64:AM64"/>
    <mergeCell ref="AO64:AR64"/>
    <mergeCell ref="AS64:AW64"/>
    <mergeCell ref="AX64:BB64"/>
    <mergeCell ref="AB65:AJ65"/>
    <mergeCell ref="AK65:AM65"/>
    <mergeCell ref="AO65:AR65"/>
    <mergeCell ref="AS65:AW65"/>
    <mergeCell ref="AX65:BB65"/>
    <mergeCell ref="AB66:AJ66"/>
    <mergeCell ref="AK66:AM66"/>
    <mergeCell ref="AO66:AR66"/>
    <mergeCell ref="AS66:AW66"/>
    <mergeCell ref="AX66:BB66"/>
    <mergeCell ref="AB69:AH69"/>
    <mergeCell ref="AI69:AK69"/>
    <mergeCell ref="AL69:AN69"/>
    <mergeCell ref="AO69:AR69"/>
    <mergeCell ref="AS69:AV69"/>
    <mergeCell ref="AB70:AH70"/>
    <mergeCell ref="AI70:AK70"/>
    <mergeCell ref="AL70:AN70"/>
    <mergeCell ref="AO70:AR70"/>
    <mergeCell ref="AS70:AV70"/>
    <mergeCell ref="AB71:AH71"/>
    <mergeCell ref="AI71:AK71"/>
    <mergeCell ref="AL71:AN71"/>
    <mergeCell ref="AO71:AR71"/>
    <mergeCell ref="AS71:AV71"/>
    <mergeCell ref="AB72:AH72"/>
    <mergeCell ref="AI72:AK72"/>
    <mergeCell ref="AL72:AN72"/>
    <mergeCell ref="AO72:AR72"/>
    <mergeCell ref="AS72:AV72"/>
    <mergeCell ref="AB75:AH75"/>
    <mergeCell ref="AI75:AK75"/>
    <mergeCell ref="AL75:AN75"/>
    <mergeCell ref="AO75:AR75"/>
    <mergeCell ref="AS75:AV75"/>
    <mergeCell ref="AB76:AH76"/>
    <mergeCell ref="AI76:AK76"/>
    <mergeCell ref="AL76:AN76"/>
    <mergeCell ref="AO76:AR76"/>
    <mergeCell ref="AS76:AV76"/>
    <mergeCell ref="AB77:AH77"/>
    <mergeCell ref="AI77:AK77"/>
    <mergeCell ref="AL77:AN77"/>
    <mergeCell ref="AO77:AR77"/>
    <mergeCell ref="AS77:AV77"/>
    <mergeCell ref="AB78:AH78"/>
    <mergeCell ref="AI78:AK78"/>
    <mergeCell ref="AL78:AN78"/>
    <mergeCell ref="AO78:AR78"/>
    <mergeCell ref="AS78:AV78"/>
    <mergeCell ref="AB79:AH79"/>
    <mergeCell ref="AI79:AK79"/>
    <mergeCell ref="AL79:AN79"/>
    <mergeCell ref="AO79:AR79"/>
    <mergeCell ref="AS79:AV79"/>
    <mergeCell ref="AB83:AJ83"/>
    <mergeCell ref="AK83:AN83"/>
    <mergeCell ref="AO83:AR83"/>
    <mergeCell ref="AS83:AW83"/>
    <mergeCell ref="AX83:BB83"/>
    <mergeCell ref="AB84:AJ84"/>
    <mergeCell ref="AK84:AM84"/>
    <mergeCell ref="AO84:AR84"/>
    <mergeCell ref="AS84:AW84"/>
    <mergeCell ref="AX84:BB84"/>
    <mergeCell ref="AB85:AJ85"/>
    <mergeCell ref="AK85:AM85"/>
    <mergeCell ref="AO85:AR85"/>
    <mergeCell ref="AS85:AW85"/>
    <mergeCell ref="AX85:BB85"/>
    <mergeCell ref="AB86:AJ86"/>
    <mergeCell ref="AK86:AM86"/>
    <mergeCell ref="AO86:AR86"/>
    <mergeCell ref="AS86:AW86"/>
    <mergeCell ref="AX86:BB86"/>
  </mergeCells>
  <phoneticPr fontId="3"/>
  <printOptions horizontalCentered="1" verticalCentered="1"/>
  <pageMargins left="0.59055118110236227" right="0.39370078740157483" top="0.39370078740157483" bottom="0.39370078740157483" header="0.51181102362204722" footer="0.51181102362204722"/>
  <pageSetup paperSize="9" scale="6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計算シート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kobayashi</dc:creator>
  <cp:lastModifiedBy>takashi kobayashi</cp:lastModifiedBy>
  <dcterms:created xsi:type="dcterms:W3CDTF">2015-11-11T04:56:15Z</dcterms:created>
  <dcterms:modified xsi:type="dcterms:W3CDTF">2015-11-11T05:17:32Z</dcterms:modified>
</cp:coreProperties>
</file>